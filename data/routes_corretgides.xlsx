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c026b07bb50802/Feina/DataApps^0Learning/rando/andorra-skimo-bulletin/data/"/>
    </mc:Choice>
  </mc:AlternateContent>
  <xr:revisionPtr revIDLastSave="1" documentId="13_ncr:1_{91DA7092-20EF-3849-ACEC-7806277071BA}" xr6:coauthVersionLast="47" xr6:coauthVersionMax="47" xr10:uidLastSave="{DDBF4CF9-95B0-4743-BC36-2FD7AC385F91}"/>
  <bookViews>
    <workbookView xWindow="17540" yWindow="7660" windowWidth="40380" windowHeight="17440" xr2:uid="{DACA9C36-F0F5-EC4B-9BA5-459550E34FB7}"/>
  </bookViews>
  <sheets>
    <sheet name="routes" sheetId="2" r:id="rId1"/>
    <sheet name="Hoja2" sheetId="3" r:id="rId2"/>
  </sheets>
  <definedNames>
    <definedName name="DatosExternos_1" localSheetId="0" hidden="1">'routes'!$A$1:$M$122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115601-1C86-1040-993F-8C32C576E3FA}" keepAlive="1" name="Consulta - routes" description="Conexión a la consulta 'routes' en el libro." type="5" refreshedVersion="8" background="1" saveData="1">
    <dbPr connection="Provider=Microsoft.Mashup.OleDb.1;Data Source=$Workbook$;Location=routes;Extended Properties=&quot;&quot;" command="SELECT * FROM [routes]"/>
  </connection>
</connections>
</file>

<file path=xl/sharedStrings.xml><?xml version="1.0" encoding="utf-8"?>
<sst xmlns="http://schemas.openxmlformats.org/spreadsheetml/2006/main" count="1027" uniqueCount="539">
  <si>
    <t>route_index_global</t>
  </si>
  <si>
    <t>name</t>
  </si>
  <si>
    <t>zone</t>
  </si>
  <si>
    <t>difficulty</t>
  </si>
  <si>
    <t>distance</t>
  </si>
  <si>
    <t>elevation_gain</t>
  </si>
  <si>
    <t>orientation</t>
  </si>
  <si>
    <t>start_point</t>
  </si>
  <si>
    <t>end_point</t>
  </si>
  <si>
    <t>start_altitude</t>
  </si>
  <si>
    <t>end_altitude</t>
  </si>
  <si>
    <t>Agulla de Baiau</t>
  </si>
  <si>
    <t>Valls del Comapedrosa</t>
  </si>
  <si>
    <t>COMPLEX</t>
  </si>
  <si>
    <t>6.6km</t>
  </si>
  <si>
    <t>1300m</t>
  </si>
  <si>
    <t>N+SE</t>
  </si>
  <si>
    <t>Edificis de Prats Sobirans, a 1.560 m</t>
  </si>
  <si>
    <t>Alt del Cubil</t>
  </si>
  <si>
    <t>Cortals d'Encamp</t>
  </si>
  <si>
    <t>4.3km</t>
  </si>
  <si>
    <t>746m</t>
  </si>
  <si>
    <t>Carretera intermèdia del Funicamp, a 2.090 m (Carretera dels Cortals d’Encamp)</t>
  </si>
  <si>
    <t>Alt del Cubil, a 2834 m</t>
  </si>
  <si>
    <t>Alt del Griu</t>
  </si>
  <si>
    <t>CHALLENGING</t>
  </si>
  <si>
    <t>7.7km</t>
  </si>
  <si>
    <t>985m</t>
  </si>
  <si>
    <t>Carretera dels Cortals d’Encamp (km 6, a 1.887 m). Estacionarem el vehicle al costat de la carretera, en un lloc que no molesti</t>
  </si>
  <si>
    <t>Alt del Griu, a 2841m</t>
  </si>
  <si>
    <t>Avetar</t>
  </si>
  <si>
    <t>El Tarter i Soldeu</t>
  </si>
  <si>
    <t>3.6km</t>
  </si>
  <si>
    <t>744m</t>
  </si>
  <si>
    <t>N</t>
  </si>
  <si>
    <t>Pàrquing del Tarter, a 1.710 m o pàrquing del Nòrdic, a 1.720 m.</t>
  </si>
  <si>
    <t>Tosa dels Espiolets, a 2.467 m</t>
  </si>
  <si>
    <t>Basses de les Salamandres</t>
  </si>
  <si>
    <t>Entor</t>
  </si>
  <si>
    <t>SIMPLE</t>
  </si>
  <si>
    <t>2.9km</t>
  </si>
  <si>
    <t>412m</t>
  </si>
  <si>
    <t>S+SE</t>
  </si>
  <si>
    <t>Borda del Marticella, a 1.940m</t>
  </si>
  <si>
    <t>Basses de les Salamandres, a 2.343m</t>
  </si>
  <si>
    <t>Bony d'Envalira</t>
  </si>
  <si>
    <t>Grau Roig</t>
  </si>
  <si>
    <t>3.8km</t>
  </si>
  <si>
    <t>674m</t>
  </si>
  <si>
    <t>Aparcament de Grau Roig, a 2.100 m</t>
  </si>
  <si>
    <t>Bony d'Envalira, a 2.684 m</t>
  </si>
  <si>
    <t>Bony de la Pleta de Jan</t>
  </si>
  <si>
    <t>Ransol</t>
  </si>
  <si>
    <t>3.3km</t>
  </si>
  <si>
    <t>638m</t>
  </si>
  <si>
    <t>Final carretera, a 1.953m</t>
  </si>
  <si>
    <t>Bony de la Pleta de Jan, a 2.525m</t>
  </si>
  <si>
    <t>Bony de les Neres</t>
  </si>
  <si>
    <t>3.1km</t>
  </si>
  <si>
    <t>232m</t>
  </si>
  <si>
    <t>Pàrquing de la carretera del Coll d’Ordino, a 1.981 m</t>
  </si>
  <si>
    <t>Bony de les Neres, a 2.209 m</t>
  </si>
  <si>
    <t>Bosc de Soldeu</t>
  </si>
  <si>
    <t>3.2km</t>
  </si>
  <si>
    <t>636m</t>
  </si>
  <si>
    <t>Peu de l’estació de Soldeu, a 1.800 m</t>
  </si>
  <si>
    <t>Cabana de Siscaró</t>
  </si>
  <si>
    <t>Vall d'Incles i Siscaró</t>
  </si>
  <si>
    <t>4.8km</t>
  </si>
  <si>
    <t>389m</t>
  </si>
  <si>
    <t>N+NE</t>
  </si>
  <si>
    <t>Pàrquing de la vall d'Incles, a 1.750m</t>
  </si>
  <si>
    <t>Cabana de Siscaró, a 2.145m</t>
  </si>
  <si>
    <t>Camí­ de l'Obac</t>
  </si>
  <si>
    <t>4.5km</t>
  </si>
  <si>
    <t>828m</t>
  </si>
  <si>
    <t>Pàrquing del Tarter, a 1.710 m</t>
  </si>
  <si>
    <t>Pic d'Encampadana, a 2.491 m</t>
  </si>
  <si>
    <t>Canals de la Rabassa</t>
  </si>
  <si>
    <t>Sorteny</t>
  </si>
  <si>
    <t>5.3km</t>
  </si>
  <si>
    <t>520m</t>
  </si>
  <si>
    <t>Pàrquing de Sorteny, a 1780m</t>
  </si>
  <si>
    <t>2.5km</t>
  </si>
  <si>
    <t>559m</t>
  </si>
  <si>
    <t>S</t>
  </si>
  <si>
    <t>Cap de la Tosa d'Entor, a 2.506m</t>
  </si>
  <si>
    <t>Cap dels Agols</t>
  </si>
  <si>
    <t>5.6km</t>
  </si>
  <si>
    <t>1048m</t>
  </si>
  <si>
    <t>Borda de les Pardines, a 1.618 m</t>
  </si>
  <si>
    <t>Cap dels Agols, a 2.673 m</t>
  </si>
  <si>
    <t>Circ dels Colells</t>
  </si>
  <si>
    <t>361m</t>
  </si>
  <si>
    <t>Circ dels Colells, a 2.470 m</t>
  </si>
  <si>
    <t>Circular al pas Alt de Ríbuls</t>
  </si>
  <si>
    <t>10.5km</t>
  </si>
  <si>
    <t>842m</t>
  </si>
  <si>
    <t>Pas Alt de Ríbuls, a 2.640 m</t>
  </si>
  <si>
    <t>Circular de Creussans i Tristaina</t>
  </si>
  <si>
    <t>Arcalís</t>
  </si>
  <si>
    <t>8.2km</t>
  </si>
  <si>
    <t>760m</t>
  </si>
  <si>
    <t>S+SE+E</t>
  </si>
  <si>
    <t>Aparcament d'Arcalís, a 1.940 m</t>
  </si>
  <si>
    <t>Punta de Peyreguils, a 2.702 m</t>
  </si>
  <si>
    <t>Circular del Baser Negre i el Port del Rat</t>
  </si>
  <si>
    <t>6.2km</t>
  </si>
  <si>
    <t>595m</t>
  </si>
  <si>
    <t>NE+E</t>
  </si>
  <si>
    <t>Final carretera d'Arcalís, a 2.090 m</t>
  </si>
  <si>
    <t>Port del Rat, a 2.594 m</t>
  </si>
  <si>
    <t>Circular dels Colells i la portella de Joan Antoni</t>
  </si>
  <si>
    <t>743m</t>
  </si>
  <si>
    <t>Portella de Joan Antoni, 2.671 m</t>
  </si>
  <si>
    <t>Circular dels Pessons</t>
  </si>
  <si>
    <t>6.1km</t>
  </si>
  <si>
    <t>467m</t>
  </si>
  <si>
    <t>N+E</t>
  </si>
  <si>
    <t>Circ dels Pessons, a 2.570 m</t>
  </si>
  <si>
    <t>Circular dels Pessons i Montmalús</t>
  </si>
  <si>
    <t>716m</t>
  </si>
  <si>
    <t>N+S+E</t>
  </si>
  <si>
    <t>Collada de Montmalús, a 2.704 m</t>
  </si>
  <si>
    <t>Circular refugi de Fontverd - refugi de Perafita</t>
  </si>
  <si>
    <t>Valls de Madriu, Perafita i Claror</t>
  </si>
  <si>
    <t>12.7km</t>
  </si>
  <si>
    <t>1197m</t>
  </si>
  <si>
    <t>Encreuament de la carretera CS200 Amb la carretera CS101, a 1.232 m</t>
  </si>
  <si>
    <t>Coll d’Arenes</t>
  </si>
  <si>
    <t>Montaup i Vall del Riu</t>
  </si>
  <si>
    <t>3.0km</t>
  </si>
  <si>
    <t>634m</t>
  </si>
  <si>
    <t>Pàrquing de la carretera de Montaup, situat a l’encreuament de la carretera que baixa a les bordes de Mereig, a 1.920 m (a 150 m del km 8).</t>
  </si>
  <si>
    <t>Coll d’Arenes, a 2539 m</t>
  </si>
  <si>
    <t>Collada d’Entinyola</t>
  </si>
  <si>
    <t>8.4km</t>
  </si>
  <si>
    <t>777m</t>
  </si>
  <si>
    <t>Collada d’Entinyola, a 2663 m</t>
  </si>
  <si>
    <t>Collada de Ferreroles</t>
  </si>
  <si>
    <t>755m</t>
  </si>
  <si>
    <t>Collada de Ferreroles, a 2533m</t>
  </si>
  <si>
    <t>Collada de la Coma</t>
  </si>
  <si>
    <t>7.8km</t>
  </si>
  <si>
    <t>809m</t>
  </si>
  <si>
    <t>SE+S</t>
  </si>
  <si>
    <t>Els Plans, a 1.825 m (Ransol). Combinació de dos vehicles.</t>
  </si>
  <si>
    <t>Collada de la Coma, a 2640 m</t>
  </si>
  <si>
    <t>Collada de Muntaner i Pic del Cubil</t>
  </si>
  <si>
    <t>Cortals de Sispony</t>
  </si>
  <si>
    <t>6.8km</t>
  </si>
  <si>
    <t>1011m</t>
  </si>
  <si>
    <t>SE</t>
  </si>
  <si>
    <t>Començament de la carretera dels Cortals de Sispony (zona eixamplada), a 1.340 m</t>
  </si>
  <si>
    <t>Pic del Cubil, a 2.358 m</t>
  </si>
  <si>
    <t>Collart</t>
  </si>
  <si>
    <t>2.8km</t>
  </si>
  <si>
    <t>521m</t>
  </si>
  <si>
    <t>Pla dels Espiolets, a 2.250 m</t>
  </si>
  <si>
    <t>Coma dels Llops</t>
  </si>
  <si>
    <t>4.9km</t>
  </si>
  <si>
    <t>542m</t>
  </si>
  <si>
    <t>Coma dels Llops, a 2400 m</t>
  </si>
  <si>
    <t>Estany de l'Estanyó</t>
  </si>
  <si>
    <t>4.2km</t>
  </si>
  <si>
    <t>558m</t>
  </si>
  <si>
    <t>Estany de l'Estanyó, a 2339m</t>
  </si>
  <si>
    <t>Estany de l'Isla</t>
  </si>
  <si>
    <t>613m</t>
  </si>
  <si>
    <t>Estany de l'Isla, a 2.368m</t>
  </si>
  <si>
    <t>Estany del Meligar</t>
  </si>
  <si>
    <t>386m</t>
  </si>
  <si>
    <t>Estany del Meligar, a 2470m</t>
  </si>
  <si>
    <t>Estanys Forcats</t>
  </si>
  <si>
    <t>5.8km</t>
  </si>
  <si>
    <t>1065m</t>
  </si>
  <si>
    <t>E+S</t>
  </si>
  <si>
    <t>Estanys Forcats, a 2631 m</t>
  </si>
  <si>
    <t>La Serra</t>
  </si>
  <si>
    <t>Pal i Coll de la Botella</t>
  </si>
  <si>
    <t>3.5km</t>
  </si>
  <si>
    <t>466m</t>
  </si>
  <si>
    <t>Aparcarem el vehicle al pàrquing del Pla de la Caubella, a l’embarcament del tapís, a 1.900 m.</t>
  </si>
  <si>
    <t>Mònjol de Cabana Sorda</t>
  </si>
  <si>
    <t>835m</t>
  </si>
  <si>
    <t>Mònjol de Cabana Sorda, a 2.597m</t>
  </si>
  <si>
    <t>Pic d'Anrodat</t>
  </si>
  <si>
    <t>7.5km</t>
  </si>
  <si>
    <t>959m</t>
  </si>
  <si>
    <t>Pic d'Anrodat, a 2.731m</t>
  </si>
  <si>
    <t>Pic d'Enclar</t>
  </si>
  <si>
    <t>1032m</t>
  </si>
  <si>
    <t>Pic d'Enclar, a 2.383 m</t>
  </si>
  <si>
    <t>Pic d'Envalira i Pic Negre d'Envalira</t>
  </si>
  <si>
    <t>3.4km</t>
  </si>
  <si>
    <t>698m</t>
  </si>
  <si>
    <t>Aparcament de les Abelletes (Pas de la Casa), a 2.138 m</t>
  </si>
  <si>
    <t>Pic d'Envalira (2.815 m) i Pic Negre d'Envalira (2.822 m)</t>
  </si>
  <si>
    <t>Pic de Baiau</t>
  </si>
  <si>
    <t>6.0km</t>
  </si>
  <si>
    <t>1312m</t>
  </si>
  <si>
    <t>E+NE+S</t>
  </si>
  <si>
    <t>Pic de Baiau, a 2886 m</t>
  </si>
  <si>
    <t>Pic de Banyell per Rialb</t>
  </si>
  <si>
    <t>Vall de Rialb</t>
  </si>
  <si>
    <t>9.0km</t>
  </si>
  <si>
    <t>916m</t>
  </si>
  <si>
    <t>Pic de Banyell, a 2702m</t>
  </si>
  <si>
    <t>Pic de Banyell per</t>
  </si>
  <si>
    <t>8.9km</t>
  </si>
  <si>
    <t>913m</t>
  </si>
  <si>
    <t>Pic de Besalí</t>
  </si>
  <si>
    <t>853m</t>
  </si>
  <si>
    <t>Pic de Besalí, a 2.639m</t>
  </si>
  <si>
    <t>El Castellar</t>
  </si>
  <si>
    <t>788m</t>
  </si>
  <si>
    <t>Pont del Castellar, a 1.854m</t>
  </si>
  <si>
    <t>Pic de Carroi</t>
  </si>
  <si>
    <t>9.8km</t>
  </si>
  <si>
    <t>984m</t>
  </si>
  <si>
    <t>Pic de Carroi, a 2.332 m</t>
  </si>
  <si>
    <t>Pic de Cataperdís</t>
  </si>
  <si>
    <t>6.5km</t>
  </si>
  <si>
    <t>754m</t>
  </si>
  <si>
    <t>Pic de Cataperdís, a 2.805 m</t>
  </si>
  <si>
    <t>Pic de Comapedrosa</t>
  </si>
  <si>
    <t>8.1km</t>
  </si>
  <si>
    <t>1373m</t>
  </si>
  <si>
    <t>Pic de Comapedrosa, a 2942 m</t>
  </si>
  <si>
    <t>Pic de Creussans</t>
  </si>
  <si>
    <t>606m</t>
  </si>
  <si>
    <t>Pic de Creussans, a 2.682 m</t>
  </si>
  <si>
    <t>Pic de l'Àliga</t>
  </si>
  <si>
    <t>709m</t>
  </si>
  <si>
    <t>Pic de l'Àliga, a 2.820 m</t>
  </si>
  <si>
    <t>Pic de l'Aspra</t>
  </si>
  <si>
    <t>7.0km</t>
  </si>
  <si>
    <t>802m</t>
  </si>
  <si>
    <t>Pic de l’Aspra , a 2697 m</t>
  </si>
  <si>
    <t>Pic de l'Estany Mort</t>
  </si>
  <si>
    <t>3.7km</t>
  </si>
  <si>
    <t>854m</t>
  </si>
  <si>
    <t>Pic de l'Estany Mort, a 2.716m</t>
  </si>
  <si>
    <t>Pic de l'Estanyó</t>
  </si>
  <si>
    <t>8.8km</t>
  </si>
  <si>
    <t>1132m</t>
  </si>
  <si>
    <t>Pic de l'Estanyó, a 2915m</t>
  </si>
  <si>
    <t>Pic de l’Estanyó</t>
  </si>
  <si>
    <t>11.9km</t>
  </si>
  <si>
    <t>1084m</t>
  </si>
  <si>
    <t>Pic de l’Estanyó, a 2915 m</t>
  </si>
  <si>
    <t>Pic de l'Hortell</t>
  </si>
  <si>
    <t>2.2km</t>
  </si>
  <si>
    <t>615m</t>
  </si>
  <si>
    <t>Pic de l'Hortell, a 2.562 m</t>
  </si>
  <si>
    <t>Pic de la Cabaneta</t>
  </si>
  <si>
    <t>11.4km</t>
  </si>
  <si>
    <t>1052m</t>
  </si>
  <si>
    <t>Pic de la Cabaneta, a 2865 m</t>
  </si>
  <si>
    <t>Pic de la Cabaneta i Roc Melé</t>
  </si>
  <si>
    <t>10.9km</t>
  </si>
  <si>
    <t>1059m</t>
  </si>
  <si>
    <t>Pic de la Cabaneta, a 2.817m</t>
  </si>
  <si>
    <t>Pic de la Coma de Seignac</t>
  </si>
  <si>
    <t>966m</t>
  </si>
  <si>
    <t>Pic de la Coma de Seignac, a 2.856m</t>
  </si>
  <si>
    <t>Pic de la Coma de Varilles</t>
  </si>
  <si>
    <t>8.7km</t>
  </si>
  <si>
    <t>1027m</t>
  </si>
  <si>
    <t>Pic de la Coma de Varilles, a 2.760m</t>
  </si>
  <si>
    <t>869m</t>
  </si>
  <si>
    <t>Pic de la Font Blanca</t>
  </si>
  <si>
    <t>10.4km</t>
  </si>
  <si>
    <t>1051m</t>
  </si>
  <si>
    <t>Pic de la Font Blanca, a 2.903m</t>
  </si>
  <si>
    <t>Pic de la Maiana</t>
  </si>
  <si>
    <t>1288m</t>
  </si>
  <si>
    <t>Pic de la Maiana, 2.522 m</t>
  </si>
  <si>
    <t>Pic de la Menera</t>
  </si>
  <si>
    <t>661m</t>
  </si>
  <si>
    <t>Pic de la Menera, a 2.775 m</t>
  </si>
  <si>
    <t>Pic de la Pala Alta</t>
  </si>
  <si>
    <t>9.2km</t>
  </si>
  <si>
    <t>887m</t>
  </si>
  <si>
    <t>Pic de la Pala Alta, a 2685 m</t>
  </si>
  <si>
    <t>Pic de la Pala de Jan</t>
  </si>
  <si>
    <t>883m</t>
  </si>
  <si>
    <t>Pic de la Pala de Jan, a 2.776m</t>
  </si>
  <si>
    <t>Pic de la Serrera</t>
  </si>
  <si>
    <t>1019m</t>
  </si>
  <si>
    <t>Pic de la Serrera, a 2.912m</t>
  </si>
  <si>
    <t>8.3km</t>
  </si>
  <si>
    <t>1125m</t>
  </si>
  <si>
    <t>Pic de la Serrera, a 2913m</t>
  </si>
  <si>
    <t>Pic de la Torradella</t>
  </si>
  <si>
    <t>5.5km</t>
  </si>
  <si>
    <t>Pic de la Torradella, a 2546 m</t>
  </si>
  <si>
    <t>Pic de la Tosa de d'Incles</t>
  </si>
  <si>
    <t>810m</t>
  </si>
  <si>
    <t>Pic de la Tosa de d'Incles, a 2.568m</t>
  </si>
  <si>
    <t>Pic de la Tosa de Juclà</t>
  </si>
  <si>
    <t>946m</t>
  </si>
  <si>
    <t>Pic de la Tosa de Juclà, a 2.698m</t>
  </si>
  <si>
    <t>Pic de les Canals Roges</t>
  </si>
  <si>
    <t>7.6km</t>
  </si>
  <si>
    <t>992m</t>
  </si>
  <si>
    <t>Pic de les Canals Roges, a 2.747m</t>
  </si>
  <si>
    <t>Pic de les Fangasses</t>
  </si>
  <si>
    <t>829m</t>
  </si>
  <si>
    <t>Pic de les Fangasses, a 2.683m</t>
  </si>
  <si>
    <t>Pic de les Fonts</t>
  </si>
  <si>
    <t>1175m</t>
  </si>
  <si>
    <t>Pic de les Fonts, a 2749 m</t>
  </si>
  <si>
    <t>Pic de les Pales de Cabana Sorda</t>
  </si>
  <si>
    <t>8.0km</t>
  </si>
  <si>
    <t>917m</t>
  </si>
  <si>
    <t>Pic de les Pales de Cabana Sorda, a 2.681m</t>
  </si>
  <si>
    <t>Pic de Medacorba</t>
  </si>
  <si>
    <t>1360m</t>
  </si>
  <si>
    <t>Pic de Medacorba, a 2914 m</t>
  </si>
  <si>
    <t>Pic de Mil-Menut</t>
  </si>
  <si>
    <t>885m</t>
  </si>
  <si>
    <t>Pic de Mil-Menut, a 2.778m</t>
  </si>
  <si>
    <t>Pic de Montmalús</t>
  </si>
  <si>
    <t>670m</t>
  </si>
  <si>
    <t>E+N</t>
  </si>
  <si>
    <t>Pic de Montmalús, a 2.781 m</t>
  </si>
  <si>
    <t>Pic de Monturull</t>
  </si>
  <si>
    <t>9.5km</t>
  </si>
  <si>
    <t>1521m</t>
  </si>
  <si>
    <t>Pic de Monturull, 2.754 m</t>
  </si>
  <si>
    <t>Pic de Noé</t>
  </si>
  <si>
    <t>976m</t>
  </si>
  <si>
    <t>N+S</t>
  </si>
  <si>
    <t>Pic de Noé, a 2.737m</t>
  </si>
  <si>
    <t>Pic de Querol</t>
  </si>
  <si>
    <t>3.9km</t>
  </si>
  <si>
    <t>699m</t>
  </si>
  <si>
    <t>Pic de Querol, a 2.641m</t>
  </si>
  <si>
    <t>Pic de Racofred</t>
  </si>
  <si>
    <t>6.7km</t>
  </si>
  <si>
    <t>1287m</t>
  </si>
  <si>
    <t>Pic de Racofred, a 2838 m</t>
  </si>
  <si>
    <t>Pic de Roc Mélé i Pic de la Cabaneta</t>
  </si>
  <si>
    <t>Solana d'Andorra</t>
  </si>
  <si>
    <t>10.3km</t>
  </si>
  <si>
    <t>1105m</t>
  </si>
  <si>
    <t>Duana, a 1.945 m</t>
  </si>
  <si>
    <t>Pic de la Cabaneta, a 2.817 m</t>
  </si>
  <si>
    <t>Pic de Ruf</t>
  </si>
  <si>
    <t>8.5km</t>
  </si>
  <si>
    <t>846m</t>
  </si>
  <si>
    <t>Pic de Ruf, a 2.621m</t>
  </si>
  <si>
    <t>Pic de Sanfons</t>
  </si>
  <si>
    <t>6.9km</t>
  </si>
  <si>
    <t>1336m</t>
  </si>
  <si>
    <t>N+S+SE</t>
  </si>
  <si>
    <t>Pic de Sanfons, a 2889 m</t>
  </si>
  <si>
    <t>Pic de Serra Seca</t>
  </si>
  <si>
    <t>682m</t>
  </si>
  <si>
    <t>Pic de Serra Seca, a 2.776 m</t>
  </si>
  <si>
    <t>Pic de Siscaró</t>
  </si>
  <si>
    <t>Pic de Siscaró, a 2.637m</t>
  </si>
  <si>
    <t>Pic del Cap dels Llacs</t>
  </si>
  <si>
    <t>7.4km</t>
  </si>
  <si>
    <t>753m</t>
  </si>
  <si>
    <t>Pic del Cap dels Llacs, a 2585 m</t>
  </si>
  <si>
    <t>Pic del Maià</t>
  </si>
  <si>
    <t>Envalira</t>
  </si>
  <si>
    <t>1.8km</t>
  </si>
  <si>
    <t>223m</t>
  </si>
  <si>
    <t>Port d’Envalira, a 2.408 m</t>
  </si>
  <si>
    <t>Pic del Maià, a 2.617 m</t>
  </si>
  <si>
    <t>Pic del Pla de l’Estany</t>
  </si>
  <si>
    <t>1281m</t>
  </si>
  <si>
    <t>Pic del Pla de l’Estany, a 2860 m)</t>
  </si>
  <si>
    <t>Pic del Port de Siguer</t>
  </si>
  <si>
    <t>889m</t>
  </si>
  <si>
    <t>Pic del Port de Siguer, a 2.638m</t>
  </si>
  <si>
    <t>Pic del Sal</t>
  </si>
  <si>
    <t>952m</t>
  </si>
  <si>
    <t>Pic del Sal, a 2741m</t>
  </si>
  <si>
    <t>Pic dels Isards</t>
  </si>
  <si>
    <t>561m</t>
  </si>
  <si>
    <t>Pic dels Isards, a 2468 m</t>
  </si>
  <si>
    <t>Pic dels Llacs</t>
  </si>
  <si>
    <t>832m</t>
  </si>
  <si>
    <t>Pàrquing del Coll de la Botella, a 2.090 m (estació de Pal)</t>
  </si>
  <si>
    <t>Pic dels Llacs, a 2.692 m</t>
  </si>
  <si>
    <t>Pic dels Pessons</t>
  </si>
  <si>
    <t>4.7km</t>
  </si>
  <si>
    <t>751m</t>
  </si>
  <si>
    <t>Pic dels Pessons, a 2.862 m</t>
  </si>
  <si>
    <t>Pic Negre</t>
  </si>
  <si>
    <t>La Rabassa</t>
  </si>
  <si>
    <t>5.7km</t>
  </si>
  <si>
    <t>653m</t>
  </si>
  <si>
    <t>Aparcament de Naturlàndia, a 2040 m</t>
  </si>
  <si>
    <t>Pic Negre, a 2.644 m</t>
  </si>
  <si>
    <t>Pics de Casamanya</t>
  </si>
  <si>
    <t>16.6km</t>
  </si>
  <si>
    <t>905m</t>
  </si>
  <si>
    <t>Pics de Casamanya, a 2750 m</t>
  </si>
  <si>
    <t>Pla de la Cot</t>
  </si>
  <si>
    <t>1.4km</t>
  </si>
  <si>
    <t>292m</t>
  </si>
  <si>
    <t>Pàrquing de la Carbonera, a 1.780 m</t>
  </si>
  <si>
    <t>Pla de la Cot, a 2.080 m</t>
  </si>
  <si>
    <t>Port d'Incles</t>
  </si>
  <si>
    <t>5.4km</t>
  </si>
  <si>
    <t>506m</t>
  </si>
  <si>
    <t>Port d'Incles, a 2.261m</t>
  </si>
  <si>
    <t>Port de l'Arbella</t>
  </si>
  <si>
    <t>667m</t>
  </si>
  <si>
    <t>Port de l'Arbella, a 2.600 m</t>
  </si>
  <si>
    <t>Port de l'Estany Esbalçat</t>
  </si>
  <si>
    <t>702m</t>
  </si>
  <si>
    <t>Port de l'Estany Esbalçat, a 2.510m</t>
  </si>
  <si>
    <t>Port de Siguer</t>
  </si>
  <si>
    <t>4.4km</t>
  </si>
  <si>
    <t>Port de Siguer, a 2.395m</t>
  </si>
  <si>
    <t>Port Negre</t>
  </si>
  <si>
    <t>NE+SE</t>
  </si>
  <si>
    <t>Pàrquing del Crest, embarcament del telecadira Josep Serra, a 1.550 m</t>
  </si>
  <si>
    <t>Port Negre, a 2.454 m</t>
  </si>
  <si>
    <t>Portella de la Coma de Varilles</t>
  </si>
  <si>
    <t>683m</t>
  </si>
  <si>
    <t>Portella de la Coma de Varilles, a 2.565m</t>
  </si>
  <si>
    <t>Portella de Sanfons</t>
  </si>
  <si>
    <t>1010m</t>
  </si>
  <si>
    <t>N+NE+E</t>
  </si>
  <si>
    <t>Portella de Sanfons, a 2578 m</t>
  </si>
  <si>
    <t>Primer estany de Montmantell</t>
  </si>
  <si>
    <t>1061m</t>
  </si>
  <si>
    <t>Primer estany de Montmantell, a 2630 m</t>
  </si>
  <si>
    <t>Refugi d'Ensagents</t>
  </si>
  <si>
    <t>535m</t>
  </si>
  <si>
    <t>Refugi d’Ensagents, a 2425 m</t>
  </si>
  <si>
    <t>Refugi de Cabana Sorda</t>
  </si>
  <si>
    <t>537m</t>
  </si>
  <si>
    <t>Refugi de Cabana Sorda, a 2.293m</t>
  </si>
  <si>
    <t>541m</t>
  </si>
  <si>
    <t>Refugi de Cóms de Jan</t>
  </si>
  <si>
    <t>2.1km</t>
  </si>
  <si>
    <t>329m</t>
  </si>
  <si>
    <t>Refugi de Cóms de Jan, a 2.116m</t>
  </si>
  <si>
    <t>Refugi de Fontverd</t>
  </si>
  <si>
    <t>4.1km</t>
  </si>
  <si>
    <t>650m</t>
  </si>
  <si>
    <t>Refugi de Fontverd, a 1.871 m</t>
  </si>
  <si>
    <t>Refugi de Juclà</t>
  </si>
  <si>
    <t>556m</t>
  </si>
  <si>
    <t>Refugi de Juclà, a 2.310m</t>
  </si>
  <si>
    <t>Refugi de l'Illa pel Pas de Ríbuls</t>
  </si>
  <si>
    <t>12.1km</t>
  </si>
  <si>
    <t>855m</t>
  </si>
  <si>
    <t>Refugi de l'Illa, a 2.488 m</t>
  </si>
  <si>
    <t>Refugi de la Vall del Riu</t>
  </si>
  <si>
    <t>332m</t>
  </si>
  <si>
    <t>Refugi de la Vall del Riu 2160 m</t>
  </si>
  <si>
    <t>Refugi de Montmalús</t>
  </si>
  <si>
    <t>4.6km</t>
  </si>
  <si>
    <t>598m</t>
  </si>
  <si>
    <t>Refugi de Montmalús, a 2.445 m</t>
  </si>
  <si>
    <t>Refugi del Comapedrosa</t>
  </si>
  <si>
    <t>697m</t>
  </si>
  <si>
    <t>Refugi del Comapedrosa, a 2265 m</t>
  </si>
  <si>
    <t>Refugi del Pla de l'Estany</t>
  </si>
  <si>
    <t>483m</t>
  </si>
  <si>
    <t>Refugi del Pla de l’Estany, a 2.049 m</t>
  </si>
  <si>
    <t>Refugi dels Agols</t>
  </si>
  <si>
    <t>Refugi dels Agols, a 2.231 m</t>
  </si>
  <si>
    <t>Roca Entravessada</t>
  </si>
  <si>
    <t>1352m</t>
  </si>
  <si>
    <t>E+SE+NE</t>
  </si>
  <si>
    <t>Roca Entravessada, a 2928 m</t>
  </si>
  <si>
    <t>Setúria</t>
  </si>
  <si>
    <t>484m</t>
  </si>
  <si>
    <t>Aparcarem el vehicle al pàrquing del Coll de la Botella i baixarem esquiant fins a l’embarcament del telecadira de Setúria, a 1.900 m</t>
  </si>
  <si>
    <t>Travessa de la Rabassa a Grau Roig</t>
  </si>
  <si>
    <t>23.6km</t>
  </si>
  <si>
    <t>1676m</t>
  </si>
  <si>
    <t>Aparcament de Grau Roig, a 2.108 m</t>
  </si>
  <si>
    <t>Travessa de Rialb al Castellar</t>
  </si>
  <si>
    <t>7.1km</t>
  </si>
  <si>
    <t>731m</t>
  </si>
  <si>
    <t>Volta al Pic del Maià - Port Dret - Pas de les Vaques - Incles</t>
  </si>
  <si>
    <t>12.3km</t>
  </si>
  <si>
    <t>316m</t>
  </si>
  <si>
    <t>Port d'Envalira, a 2.408m</t>
  </si>
  <si>
    <t>Volta Clots de Massat - Clots de l'Ós - Soldeu</t>
  </si>
  <si>
    <t>579m</t>
  </si>
  <si>
    <t>Bordes d’Envalira, a 2.010 m</t>
  </si>
  <si>
    <t>Soldeu, a 1830 m</t>
  </si>
  <si>
    <t>900m</t>
  </si>
  <si>
    <t>EXIGENT</t>
  </si>
  <si>
    <t>terreny</t>
  </si>
  <si>
    <t>zona_meteo</t>
  </si>
  <si>
    <t>zona_nord</t>
  </si>
  <si>
    <t>zona_centre</t>
  </si>
  <si>
    <t>zona_sud</t>
  </si>
  <si>
    <t>W+N</t>
  </si>
  <si>
    <t>W</t>
  </si>
  <si>
    <t>NW+SW+W</t>
  </si>
  <si>
    <t>S+E+W</t>
  </si>
  <si>
    <t>W+N+SW</t>
  </si>
  <si>
    <t>NW+N</t>
  </si>
  <si>
    <t>N+S+NE+SW</t>
  </si>
  <si>
    <t>NW+S+SE</t>
  </si>
  <si>
    <t>S+W+N+E</t>
  </si>
  <si>
    <t>N+W</t>
  </si>
  <si>
    <t>SW+W</t>
  </si>
  <si>
    <t>NW</t>
  </si>
  <si>
    <t>NW+N+SE</t>
  </si>
  <si>
    <t>W+NW+S</t>
  </si>
  <si>
    <t>S+W+NW</t>
  </si>
  <si>
    <t>N+NE+SW</t>
  </si>
  <si>
    <t>S+SW</t>
  </si>
  <si>
    <t>W+SW</t>
  </si>
  <si>
    <t>S+W</t>
  </si>
  <si>
    <t>NW+W+SW</t>
  </si>
  <si>
    <t>NW+SW</t>
  </si>
  <si>
    <t>S+SE+SW</t>
  </si>
  <si>
    <t>W+S+SW</t>
  </si>
  <si>
    <t>N+NW</t>
  </si>
  <si>
    <t>W+S</t>
  </si>
  <si>
    <t>SW+S+W</t>
  </si>
  <si>
    <t>W+NW+N+NE</t>
  </si>
  <si>
    <t>E+SE+SW</t>
  </si>
  <si>
    <t>SW</t>
  </si>
  <si>
    <t>SW+S+SE</t>
  </si>
  <si>
    <t>N+W+SW</t>
  </si>
  <si>
    <t>NW+NE</t>
  </si>
  <si>
    <t>SW+S</t>
  </si>
  <si>
    <t>N+S+NE+W</t>
  </si>
  <si>
    <t>S+SW+E</t>
  </si>
  <si>
    <t>S+N+W+E</t>
  </si>
  <si>
    <t>N+NE+W</t>
  </si>
  <si>
    <t>Cap de la Tosa d'Entor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</si>
</sst>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BAE2547-E61E-234C-B6B5-C6F2E2F39704}" autoFormatId="16" applyNumberFormats="0" applyBorderFormats="0" applyFontFormats="0" applyPatternFormats="0" applyAlignmentFormats="0" applyWidthHeightFormats="0">
  <queryTableRefresh nextId="16">
    <queryTableFields count="13">
      <queryTableField id="1" name="route_index_global" tableColumnId="1"/>
      <queryTableField id="2" name="name" tableColumnId="2"/>
      <queryTableField id="12" dataBound="0" tableColumnId="12"/>
      <queryTableField id="3" name="zone" tableColumnId="3"/>
      <queryTableField id="4" name="difficulty" tableColumnId="4"/>
      <queryTableField id="15" dataBound="0" tableColumnId="15"/>
      <queryTableField id="5" name="distance" tableColumnId="5"/>
      <queryTableField id="6" name="elevation_gain" tableColumnId="6"/>
      <queryTableField id="7" name="orientation" tableColumnId="7"/>
      <queryTableField id="8" name="start_point" tableColumnId="8"/>
      <queryTableField id="9" name="end_point" tableColumnId="9"/>
      <queryTableField id="10" name="start_altitude" tableColumnId="10"/>
      <queryTableField id="11" name="end_altitud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A18A09-C955-E24E-A32A-EAA69667A929}" name="routes" displayName="routes" ref="A1:M122" tableType="queryTable" totalsRowShown="0">
  <autoFilter ref="A1:M122" xr:uid="{82A18A09-C955-E24E-A32A-EAA69667A929}"/>
  <tableColumns count="13">
    <tableColumn id="1" xr3:uid="{5218F9F1-36B8-F74C-B215-224B5E862847}" uniqueName="1" name="route_index_global" queryTableFieldId="1"/>
    <tableColumn id="2" xr3:uid="{E98112F1-986B-D645-8D66-F89986C9DB63}" uniqueName="2" name="name" queryTableFieldId="2" dataDxfId="9"/>
    <tableColumn id="12" xr3:uid="{42DDD212-9C5D-3147-9645-CFFC1995F749}" uniqueName="12" name="zona_meteo" queryTableFieldId="12" dataDxfId="8">
      <calculatedColumnFormula>VLOOKUP(routes[[#This Row],[zone]],Hoja2!A$1:B$20,2,FALSE)</calculatedColumnFormula>
    </tableColumn>
    <tableColumn id="3" xr3:uid="{1BEA625F-CA6F-FC48-962C-6FE846C1CBD6}" uniqueName="3" name="zone" queryTableFieldId="3" dataDxfId="7"/>
    <tableColumn id="4" xr3:uid="{52D91A48-6B75-DE4F-9692-8C9D1DD25636}" uniqueName="4" name="difficulty" queryTableFieldId="4" dataDxfId="6"/>
    <tableColumn id="15" xr3:uid="{ADE5603C-B0CD-0D4C-B875-4EEB808BF42D}" uniqueName="15" name="terreny" queryTableFieldId="15" dataDxfId="5">
      <calculatedColumnFormula>VLOOKUP(routes[[#This Row],[difficulty]],Hoja2!C$1:D$3,2,FALSE)</calculatedColumnFormula>
    </tableColumn>
    <tableColumn id="5" xr3:uid="{55BF0A9A-A3BC-DB4E-B054-05313B27BE00}" uniqueName="5" name="distance" queryTableFieldId="5" dataDxfId="4"/>
    <tableColumn id="6" xr3:uid="{C0C27CFA-EA68-6E4E-8ACA-FFE4AC26DF6A}" uniqueName="6" name="elevation_gain" queryTableFieldId="6" dataDxfId="3"/>
    <tableColumn id="7" xr3:uid="{0FFF3A30-CD16-5C49-A32E-726B71050101}" uniqueName="7" name="orientation" queryTableFieldId="7" dataDxfId="2"/>
    <tableColumn id="8" xr3:uid="{FF8ECB62-BE4D-894C-B9D7-3359FD86824B}" uniqueName="8" name="start_point" queryTableFieldId="8" dataDxfId="1"/>
    <tableColumn id="9" xr3:uid="{6580F2C9-EF57-2E4E-A781-D9365D3A8AF1}" uniqueName="9" name="end_point" queryTableFieldId="9" dataDxfId="0"/>
    <tableColumn id="10" xr3:uid="{6E2AFDE4-6928-0C43-B9DA-D7D3D17F72B1}" uniqueName="10" name="start_altitude" queryTableFieldId="10"/>
    <tableColumn id="11" xr3:uid="{3FBB505F-309D-8348-ADBD-87C1A2023619}" uniqueName="11" name="end_altitude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ABD11-A00F-7D4E-A519-B2066BB44D6D}">
  <dimension ref="A1:M122"/>
  <sheetViews>
    <sheetView tabSelected="1" topLeftCell="A106" workbookViewId="0">
      <selection activeCell="B14" sqref="B14"/>
    </sheetView>
  </sheetViews>
  <sheetFormatPr baseColWidth="10" defaultRowHeight="16" x14ac:dyDescent="0.2"/>
  <cols>
    <col min="1" max="1" width="19.1640625" bestFit="1" customWidth="1"/>
    <col min="2" max="2" width="48.5" bestFit="1" customWidth="1"/>
    <col min="3" max="3" width="21.33203125" customWidth="1"/>
    <col min="4" max="4" width="27.33203125" bestFit="1" customWidth="1"/>
    <col min="5" max="5" width="13.33203125" bestFit="1" customWidth="1"/>
    <col min="6" max="6" width="13.33203125" customWidth="1"/>
    <col min="8" max="8" width="15.5" bestFit="1" customWidth="1"/>
    <col min="9" max="9" width="12.6640625" bestFit="1" customWidth="1"/>
    <col min="10" max="10" width="90.33203125" customWidth="1"/>
    <col min="11" max="11" width="59.1640625" bestFit="1" customWidth="1"/>
    <col min="12" max="12" width="14.83203125" bestFit="1" customWidth="1"/>
    <col min="13" max="13" width="13.83203125" bestFit="1" customWidth="1"/>
  </cols>
  <sheetData>
    <row r="1" spans="1:13" x14ac:dyDescent="0.2">
      <c r="A1" t="s">
        <v>0</v>
      </c>
      <c r="B1" t="s">
        <v>1</v>
      </c>
      <c r="C1" t="s">
        <v>497</v>
      </c>
      <c r="D1" t="s">
        <v>2</v>
      </c>
      <c r="E1" t="s">
        <v>3</v>
      </c>
      <c r="F1" t="s">
        <v>496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">
      <c r="A2">
        <v>0</v>
      </c>
      <c r="B2" t="s">
        <v>11</v>
      </c>
      <c r="C2" t="str">
        <f>VLOOKUP(routes[[#This Row],[zone]],Hoja2!A$1:B$20,2,FALSE)</f>
        <v>zona_nord</v>
      </c>
      <c r="D2" t="s">
        <v>12</v>
      </c>
      <c r="E2" t="s">
        <v>13</v>
      </c>
      <c r="F2" t="str">
        <f>VLOOKUP(routes[[#This Row],[difficulty]],Hoja2!C$1:D$3,2,FALSE)</f>
        <v>EXIGENT</v>
      </c>
      <c r="G2" t="s">
        <v>14</v>
      </c>
      <c r="H2" t="s">
        <v>15</v>
      </c>
      <c r="I2" t="s">
        <v>16</v>
      </c>
      <c r="J2" t="s">
        <v>17</v>
      </c>
      <c r="K2" t="s">
        <v>11</v>
      </c>
      <c r="L2">
        <v>1560</v>
      </c>
      <c r="M2">
        <v>2860</v>
      </c>
    </row>
    <row r="3" spans="1:13" x14ac:dyDescent="0.2">
      <c r="A3">
        <v>1</v>
      </c>
      <c r="B3" t="s">
        <v>18</v>
      </c>
      <c r="C3" t="str">
        <f>VLOOKUP(routes[[#This Row],[zone]],Hoja2!A$1:B$20,2,FALSE)</f>
        <v>zona_centre</v>
      </c>
      <c r="D3" t="s">
        <v>19</v>
      </c>
      <c r="E3" t="s">
        <v>13</v>
      </c>
      <c r="F3" t="str">
        <f>VLOOKUP(routes[[#This Row],[difficulty]],Hoja2!C$1:D$3,2,FALSE)</f>
        <v>EXIGENT</v>
      </c>
      <c r="G3" t="s">
        <v>20</v>
      </c>
      <c r="H3" t="s">
        <v>21</v>
      </c>
      <c r="I3" t="s">
        <v>501</v>
      </c>
      <c r="J3" t="s">
        <v>22</v>
      </c>
      <c r="K3" t="s">
        <v>23</v>
      </c>
      <c r="L3">
        <v>2090</v>
      </c>
      <c r="M3">
        <v>2834</v>
      </c>
    </row>
    <row r="4" spans="1:13" x14ac:dyDescent="0.2">
      <c r="A4">
        <v>2</v>
      </c>
      <c r="B4" t="s">
        <v>24</v>
      </c>
      <c r="C4" t="str">
        <f>VLOOKUP(routes[[#This Row],[zone]],Hoja2!A$1:B$20,2,FALSE)</f>
        <v>zona_centre</v>
      </c>
      <c r="D4" t="s">
        <v>19</v>
      </c>
      <c r="E4" t="s">
        <v>25</v>
      </c>
      <c r="F4" t="str">
        <f>VLOOKUP(routes[[#This Row],[difficulty]],Hoja2!C$1:D$3,2,FALSE)</f>
        <v>COMPLEX</v>
      </c>
      <c r="G4" t="s">
        <v>26</v>
      </c>
      <c r="H4" t="s">
        <v>27</v>
      </c>
      <c r="I4" t="s">
        <v>502</v>
      </c>
      <c r="J4" t="s">
        <v>28</v>
      </c>
      <c r="K4" t="s">
        <v>29</v>
      </c>
      <c r="L4">
        <v>1887</v>
      </c>
      <c r="M4">
        <v>2841</v>
      </c>
    </row>
    <row r="5" spans="1:13" x14ac:dyDescent="0.2">
      <c r="A5">
        <v>3</v>
      </c>
      <c r="B5" t="s">
        <v>30</v>
      </c>
      <c r="C5" t="str">
        <f>VLOOKUP(routes[[#This Row],[zone]],Hoja2!A$1:B$20,2,FALSE)</f>
        <v>zona_nord</v>
      </c>
      <c r="D5" t="s">
        <v>31</v>
      </c>
      <c r="E5" t="s">
        <v>13</v>
      </c>
      <c r="F5" t="str">
        <f>VLOOKUP(routes[[#This Row],[difficulty]],Hoja2!C$1:D$3,2,FALSE)</f>
        <v>EXIGENT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>
        <v>1720</v>
      </c>
      <c r="M5">
        <v>2467</v>
      </c>
    </row>
    <row r="6" spans="1:13" x14ac:dyDescent="0.2">
      <c r="A6">
        <v>4</v>
      </c>
      <c r="B6" t="s">
        <v>37</v>
      </c>
      <c r="C6" t="str">
        <f>VLOOKUP(routes[[#This Row],[zone]],Hoja2!A$1:B$20,2,FALSE)</f>
        <v>zona_nord</v>
      </c>
      <c r="D6" t="s">
        <v>38</v>
      </c>
      <c r="E6" t="s">
        <v>39</v>
      </c>
      <c r="F6" t="str">
        <f>VLOOKUP(routes[[#This Row],[difficulty]],Hoja2!C$1:D$3,2,FALSE)</f>
        <v>SIMPLE</v>
      </c>
      <c r="G6" t="s">
        <v>40</v>
      </c>
      <c r="H6" t="s">
        <v>41</v>
      </c>
      <c r="I6" t="s">
        <v>42</v>
      </c>
      <c r="J6" t="s">
        <v>43</v>
      </c>
      <c r="K6" t="s">
        <v>44</v>
      </c>
      <c r="L6">
        <v>1940</v>
      </c>
      <c r="M6">
        <v>2343</v>
      </c>
    </row>
    <row r="7" spans="1:13" x14ac:dyDescent="0.2">
      <c r="A7">
        <v>5</v>
      </c>
      <c r="B7" t="s">
        <v>45</v>
      </c>
      <c r="C7" t="str">
        <f>VLOOKUP(routes[[#This Row],[zone]],Hoja2!A$1:B$20,2,FALSE)</f>
        <v>zona_nord</v>
      </c>
      <c r="D7" t="s">
        <v>46</v>
      </c>
      <c r="E7" t="s">
        <v>13</v>
      </c>
      <c r="F7" t="str">
        <f>VLOOKUP(routes[[#This Row],[difficulty]],Hoja2!C$1:D$3,2,FALSE)</f>
        <v>EXIGENT</v>
      </c>
      <c r="G7" t="s">
        <v>47</v>
      </c>
      <c r="H7" t="s">
        <v>48</v>
      </c>
      <c r="I7" t="s">
        <v>503</v>
      </c>
      <c r="J7" t="s">
        <v>49</v>
      </c>
      <c r="K7" t="s">
        <v>50</v>
      </c>
      <c r="L7">
        <v>2100</v>
      </c>
      <c r="M7">
        <v>2684</v>
      </c>
    </row>
    <row r="8" spans="1:13" x14ac:dyDescent="0.2">
      <c r="A8">
        <v>6</v>
      </c>
      <c r="B8" t="s">
        <v>51</v>
      </c>
      <c r="C8" t="str">
        <f>VLOOKUP(routes[[#This Row],[zone]],Hoja2!A$1:B$20,2,FALSE)</f>
        <v>zona_nord</v>
      </c>
      <c r="D8" t="s">
        <v>52</v>
      </c>
      <c r="E8" t="s">
        <v>25</v>
      </c>
      <c r="F8" t="str">
        <f>VLOOKUP(routes[[#This Row],[difficulty]],Hoja2!C$1:D$3,2,FALSE)</f>
        <v>COMPLEX</v>
      </c>
      <c r="G8" t="s">
        <v>53</v>
      </c>
      <c r="H8" t="s">
        <v>54</v>
      </c>
      <c r="I8" t="s">
        <v>42</v>
      </c>
      <c r="J8" t="s">
        <v>55</v>
      </c>
      <c r="K8" t="s">
        <v>56</v>
      </c>
      <c r="L8">
        <v>1953</v>
      </c>
      <c r="M8">
        <v>2525</v>
      </c>
    </row>
    <row r="9" spans="1:13" x14ac:dyDescent="0.2">
      <c r="A9">
        <v>7</v>
      </c>
      <c r="B9" t="s">
        <v>57</v>
      </c>
      <c r="C9" t="str">
        <f>VLOOKUP(routes[[#This Row],[zone]],Hoja2!A$1:B$20,2,FALSE)</f>
        <v>zona_centre</v>
      </c>
      <c r="D9" t="s">
        <v>57</v>
      </c>
      <c r="E9" t="s">
        <v>39</v>
      </c>
      <c r="F9" t="str">
        <f>VLOOKUP(routes[[#This Row],[difficulty]],Hoja2!C$1:D$3,2,FALSE)</f>
        <v>SIMPLE</v>
      </c>
      <c r="G9" t="s">
        <v>58</v>
      </c>
      <c r="H9" t="s">
        <v>59</v>
      </c>
      <c r="I9" t="s">
        <v>34</v>
      </c>
      <c r="J9" t="s">
        <v>60</v>
      </c>
      <c r="K9" t="s">
        <v>61</v>
      </c>
      <c r="L9">
        <v>1981</v>
      </c>
      <c r="M9">
        <v>2209</v>
      </c>
    </row>
    <row r="10" spans="1:13" x14ac:dyDescent="0.2">
      <c r="A10">
        <v>8</v>
      </c>
      <c r="B10" t="s">
        <v>62</v>
      </c>
      <c r="C10" t="str">
        <f>VLOOKUP(routes[[#This Row],[zone]],Hoja2!A$1:B$20,2,FALSE)</f>
        <v>zona_nord</v>
      </c>
      <c r="D10" t="s">
        <v>31</v>
      </c>
      <c r="E10" t="s">
        <v>13</v>
      </c>
      <c r="F10" t="str">
        <f>VLOOKUP(routes[[#This Row],[difficulty]],Hoja2!C$1:D$3,2,FALSE)</f>
        <v>EXIGENT</v>
      </c>
      <c r="G10" t="s">
        <v>63</v>
      </c>
      <c r="H10" t="s">
        <v>64</v>
      </c>
      <c r="I10" t="s">
        <v>34</v>
      </c>
      <c r="J10" t="s">
        <v>65</v>
      </c>
      <c r="K10" t="s">
        <v>36</v>
      </c>
      <c r="L10">
        <v>1800</v>
      </c>
      <c r="M10">
        <v>2467</v>
      </c>
    </row>
    <row r="11" spans="1:13" x14ac:dyDescent="0.2">
      <c r="A11">
        <v>9</v>
      </c>
      <c r="B11" t="s">
        <v>66</v>
      </c>
      <c r="C11" t="str">
        <f>VLOOKUP(routes[[#This Row],[zone]],Hoja2!A$1:B$20,2,FALSE)</f>
        <v>zona_nord</v>
      </c>
      <c r="D11" t="s">
        <v>67</v>
      </c>
      <c r="E11" t="s">
        <v>25</v>
      </c>
      <c r="F11" t="str">
        <f>VLOOKUP(routes[[#This Row],[difficulty]],Hoja2!C$1:D$3,2,FALSE)</f>
        <v>COMPLEX</v>
      </c>
      <c r="G11" t="s">
        <v>68</v>
      </c>
      <c r="H11" t="s">
        <v>69</v>
      </c>
      <c r="I11" t="s">
        <v>70</v>
      </c>
      <c r="J11" t="s">
        <v>71</v>
      </c>
      <c r="K11" t="s">
        <v>72</v>
      </c>
      <c r="L11">
        <v>1750</v>
      </c>
      <c r="M11">
        <v>2145</v>
      </c>
    </row>
    <row r="12" spans="1:13" x14ac:dyDescent="0.2">
      <c r="A12">
        <v>10</v>
      </c>
      <c r="B12" t="s">
        <v>73</v>
      </c>
      <c r="C12" t="str">
        <f>VLOOKUP(routes[[#This Row],[zone]],Hoja2!A$1:B$20,2,FALSE)</f>
        <v>zona_nord</v>
      </c>
      <c r="D12" t="s">
        <v>31</v>
      </c>
      <c r="E12" t="s">
        <v>25</v>
      </c>
      <c r="F12" t="str">
        <f>VLOOKUP(routes[[#This Row],[difficulty]],Hoja2!C$1:D$3,2,FALSE)</f>
        <v>COMPLEX</v>
      </c>
      <c r="G12" t="s">
        <v>74</v>
      </c>
      <c r="H12" t="s">
        <v>75</v>
      </c>
      <c r="I12" t="s">
        <v>70</v>
      </c>
      <c r="J12" t="s">
        <v>76</v>
      </c>
      <c r="K12" t="s">
        <v>77</v>
      </c>
      <c r="L12">
        <v>1710</v>
      </c>
      <c r="M12">
        <v>2491</v>
      </c>
    </row>
    <row r="13" spans="1:13" x14ac:dyDescent="0.2">
      <c r="A13">
        <v>11</v>
      </c>
      <c r="B13" t="s">
        <v>78</v>
      </c>
      <c r="C13" t="str">
        <f>VLOOKUP(routes[[#This Row],[zone]],Hoja2!A$1:B$20,2,FALSE)</f>
        <v>zona_nord</v>
      </c>
      <c r="D13" t="s">
        <v>79</v>
      </c>
      <c r="E13" t="s">
        <v>13</v>
      </c>
      <c r="F13" t="str">
        <f>VLOOKUP(routes[[#This Row],[difficulty]],Hoja2!C$1:D$3,2,FALSE)</f>
        <v>EXIGENT</v>
      </c>
      <c r="G13" t="s">
        <v>80</v>
      </c>
      <c r="H13" t="s">
        <v>81</v>
      </c>
      <c r="I13" t="s">
        <v>504</v>
      </c>
      <c r="J13" t="s">
        <v>82</v>
      </c>
      <c r="K13" t="s">
        <v>82</v>
      </c>
      <c r="L13">
        <v>1780</v>
      </c>
      <c r="M13">
        <v>2300</v>
      </c>
    </row>
    <row r="14" spans="1:13" x14ac:dyDescent="0.2">
      <c r="A14">
        <v>12</v>
      </c>
      <c r="B14" t="s">
        <v>538</v>
      </c>
      <c r="C14" t="str">
        <f>VLOOKUP(routes[[#This Row],[zone]],Hoja2!A$1:B$20,2,FALSE)</f>
        <v>zona_nord</v>
      </c>
      <c r="D14" t="s">
        <v>38</v>
      </c>
      <c r="E14" t="s">
        <v>39</v>
      </c>
      <c r="F14" t="str">
        <f>VLOOKUP(routes[[#This Row],[difficulty]],Hoja2!C$1:D$3,2,FALSE)</f>
        <v>SIMPLE</v>
      </c>
      <c r="G14" t="s">
        <v>83</v>
      </c>
      <c r="H14" t="s">
        <v>84</v>
      </c>
      <c r="I14" t="s">
        <v>85</v>
      </c>
      <c r="J14" t="s">
        <v>43</v>
      </c>
      <c r="K14" t="s">
        <v>86</v>
      </c>
      <c r="L14">
        <v>1940</v>
      </c>
      <c r="M14">
        <v>2506</v>
      </c>
    </row>
    <row r="15" spans="1:13" x14ac:dyDescent="0.2">
      <c r="A15">
        <v>13</v>
      </c>
      <c r="B15" t="s">
        <v>87</v>
      </c>
      <c r="C15" t="str">
        <f>VLOOKUP(routes[[#This Row],[zone]],Hoja2!A$1:B$20,2,FALSE)</f>
        <v>zona_centre</v>
      </c>
      <c r="D15" t="s">
        <v>19</v>
      </c>
      <c r="E15" t="s">
        <v>25</v>
      </c>
      <c r="F15" t="str">
        <f>VLOOKUP(routes[[#This Row],[difficulty]],Hoja2!C$1:D$3,2,FALSE)</f>
        <v>COMPLEX</v>
      </c>
      <c r="G15" t="s">
        <v>88</v>
      </c>
      <c r="H15" t="s">
        <v>89</v>
      </c>
      <c r="I15" t="s">
        <v>505</v>
      </c>
      <c r="J15" t="s">
        <v>90</v>
      </c>
      <c r="K15" t="s">
        <v>91</v>
      </c>
      <c r="L15">
        <v>1618</v>
      </c>
      <c r="M15">
        <v>2673</v>
      </c>
    </row>
    <row r="16" spans="1:13" x14ac:dyDescent="0.2">
      <c r="A16">
        <v>14</v>
      </c>
      <c r="B16" t="s">
        <v>92</v>
      </c>
      <c r="C16" t="str">
        <f>VLOOKUP(routes[[#This Row],[zone]],Hoja2!A$1:B$20,2,FALSE)</f>
        <v>zona_nord</v>
      </c>
      <c r="D16" t="s">
        <v>46</v>
      </c>
      <c r="E16" t="s">
        <v>39</v>
      </c>
      <c r="F16" t="str">
        <f>VLOOKUP(routes[[#This Row],[difficulty]],Hoja2!C$1:D$3,2,FALSE)</f>
        <v>SIMPLE</v>
      </c>
      <c r="G16" t="s">
        <v>58</v>
      </c>
      <c r="H16" t="s">
        <v>93</v>
      </c>
      <c r="I16" t="s">
        <v>506</v>
      </c>
      <c r="J16" t="s">
        <v>49</v>
      </c>
      <c r="K16" t="s">
        <v>94</v>
      </c>
      <c r="L16">
        <v>2100</v>
      </c>
      <c r="M16">
        <v>2470</v>
      </c>
    </row>
    <row r="17" spans="1:13" x14ac:dyDescent="0.2">
      <c r="A17">
        <v>15</v>
      </c>
      <c r="B17" t="s">
        <v>95</v>
      </c>
      <c r="C17" t="str">
        <f>VLOOKUP(routes[[#This Row],[zone]],Hoja2!A$1:B$20,2,FALSE)</f>
        <v>zona_nord</v>
      </c>
      <c r="D17" t="s">
        <v>46</v>
      </c>
      <c r="E17" t="s">
        <v>13</v>
      </c>
      <c r="F17" t="str">
        <f>VLOOKUP(routes[[#This Row],[difficulty]],Hoja2!C$1:D$3,2,FALSE)</f>
        <v>EXIGENT</v>
      </c>
      <c r="G17" t="s">
        <v>96</v>
      </c>
      <c r="H17" t="s">
        <v>97</v>
      </c>
      <c r="I17" t="s">
        <v>507</v>
      </c>
      <c r="J17" t="s">
        <v>49</v>
      </c>
      <c r="K17" t="s">
        <v>98</v>
      </c>
      <c r="L17">
        <v>2100</v>
      </c>
      <c r="M17">
        <v>2640</v>
      </c>
    </row>
    <row r="18" spans="1:13" x14ac:dyDescent="0.2">
      <c r="A18">
        <v>16</v>
      </c>
      <c r="B18" t="s">
        <v>99</v>
      </c>
      <c r="C18" t="str">
        <f>VLOOKUP(routes[[#This Row],[zone]],Hoja2!A$1:B$20,2,FALSE)</f>
        <v>zona_nord</v>
      </c>
      <c r="D18" t="s">
        <v>100</v>
      </c>
      <c r="E18" t="s">
        <v>13</v>
      </c>
      <c r="F18" t="str">
        <f>VLOOKUP(routes[[#This Row],[difficulty]],Hoja2!C$1:D$3,2,FALSE)</f>
        <v>EXIGENT</v>
      </c>
      <c r="G18" t="s">
        <v>101</v>
      </c>
      <c r="H18" t="s">
        <v>102</v>
      </c>
      <c r="I18" t="s">
        <v>103</v>
      </c>
      <c r="J18" t="s">
        <v>104</v>
      </c>
      <c r="K18" t="s">
        <v>105</v>
      </c>
      <c r="L18">
        <v>1940</v>
      </c>
      <c r="M18">
        <v>2702</v>
      </c>
    </row>
    <row r="19" spans="1:13" x14ac:dyDescent="0.2">
      <c r="A19">
        <v>17</v>
      </c>
      <c r="B19" t="s">
        <v>106</v>
      </c>
      <c r="C19" t="str">
        <f>VLOOKUP(routes[[#This Row],[zone]],Hoja2!A$1:B$20,2,FALSE)</f>
        <v>zona_nord</v>
      </c>
      <c r="D19" t="s">
        <v>100</v>
      </c>
      <c r="E19" t="s">
        <v>13</v>
      </c>
      <c r="F19" t="str">
        <f>VLOOKUP(routes[[#This Row],[difficulty]],Hoja2!C$1:D$3,2,FALSE)</f>
        <v>EXIGENT</v>
      </c>
      <c r="G19" t="s">
        <v>107</v>
      </c>
      <c r="H19" t="s">
        <v>108</v>
      </c>
      <c r="I19" t="s">
        <v>109</v>
      </c>
      <c r="J19" t="s">
        <v>110</v>
      </c>
      <c r="K19" t="s">
        <v>111</v>
      </c>
      <c r="L19">
        <v>2090</v>
      </c>
      <c r="M19">
        <v>2594</v>
      </c>
    </row>
    <row r="20" spans="1:13" x14ac:dyDescent="0.2">
      <c r="A20">
        <v>18</v>
      </c>
      <c r="B20" t="s">
        <v>112</v>
      </c>
      <c r="C20" t="str">
        <f>VLOOKUP(routes[[#This Row],[zone]],Hoja2!A$1:B$20,2,FALSE)</f>
        <v>zona_nord</v>
      </c>
      <c r="D20" t="s">
        <v>46</v>
      </c>
      <c r="E20" t="s">
        <v>13</v>
      </c>
      <c r="F20" t="str">
        <f>VLOOKUP(routes[[#This Row],[difficulty]],Hoja2!C$1:D$3,2,FALSE)</f>
        <v>EXIGENT</v>
      </c>
      <c r="G20" t="s">
        <v>14</v>
      </c>
      <c r="H20" t="s">
        <v>113</v>
      </c>
      <c r="I20" t="s">
        <v>508</v>
      </c>
      <c r="J20" t="s">
        <v>49</v>
      </c>
      <c r="K20" t="s">
        <v>114</v>
      </c>
      <c r="L20">
        <v>2100</v>
      </c>
      <c r="M20">
        <v>2671</v>
      </c>
    </row>
    <row r="21" spans="1:13" x14ac:dyDescent="0.2">
      <c r="A21">
        <v>19</v>
      </c>
      <c r="B21" t="s">
        <v>115</v>
      </c>
      <c r="C21" t="str">
        <f>VLOOKUP(routes[[#This Row],[zone]],Hoja2!A$1:B$20,2,FALSE)</f>
        <v>zona_nord</v>
      </c>
      <c r="D21" t="s">
        <v>46</v>
      </c>
      <c r="E21" t="s">
        <v>39</v>
      </c>
      <c r="F21" t="str">
        <f>VLOOKUP(routes[[#This Row],[difficulty]],Hoja2!C$1:D$3,2,FALSE)</f>
        <v>SIMPLE</v>
      </c>
      <c r="G21" t="s">
        <v>116</v>
      </c>
      <c r="H21" t="s">
        <v>117</v>
      </c>
      <c r="I21" t="s">
        <v>118</v>
      </c>
      <c r="J21" t="s">
        <v>49</v>
      </c>
      <c r="K21" t="s">
        <v>119</v>
      </c>
      <c r="L21">
        <v>2100</v>
      </c>
      <c r="M21">
        <v>2570</v>
      </c>
    </row>
    <row r="22" spans="1:13" x14ac:dyDescent="0.2">
      <c r="A22">
        <v>20</v>
      </c>
      <c r="B22" t="s">
        <v>120</v>
      </c>
      <c r="C22" t="str">
        <f>VLOOKUP(routes[[#This Row],[zone]],Hoja2!A$1:B$20,2,FALSE)</f>
        <v>zona_nord</v>
      </c>
      <c r="D22" t="s">
        <v>46</v>
      </c>
      <c r="E22" t="s">
        <v>13</v>
      </c>
      <c r="F22" t="str">
        <f>VLOOKUP(routes[[#This Row],[difficulty]],Hoja2!C$1:D$3,2,FALSE)</f>
        <v>EXIGENT</v>
      </c>
      <c r="G22" t="s">
        <v>26</v>
      </c>
      <c r="H22" t="s">
        <v>121</v>
      </c>
      <c r="I22" t="s">
        <v>122</v>
      </c>
      <c r="J22" t="s">
        <v>49</v>
      </c>
      <c r="K22" t="s">
        <v>123</v>
      </c>
      <c r="L22">
        <v>2100</v>
      </c>
      <c r="M22">
        <v>2704</v>
      </c>
    </row>
    <row r="23" spans="1:13" x14ac:dyDescent="0.2">
      <c r="A23">
        <v>21</v>
      </c>
      <c r="B23" t="s">
        <v>124</v>
      </c>
      <c r="C23" t="str">
        <f>VLOOKUP(routes[[#This Row],[zone]],Hoja2!A$1:B$20,2,FALSE)</f>
        <v>zona_centre</v>
      </c>
      <c r="D23" t="s">
        <v>125</v>
      </c>
      <c r="E23" t="s">
        <v>25</v>
      </c>
      <c r="F23" t="str">
        <f>VLOOKUP(routes[[#This Row],[difficulty]],Hoja2!C$1:D$3,2,FALSE)</f>
        <v>COMPLEX</v>
      </c>
      <c r="G23" t="s">
        <v>126</v>
      </c>
      <c r="H23" t="s">
        <v>127</v>
      </c>
      <c r="I23" t="s">
        <v>509</v>
      </c>
      <c r="J23" t="s">
        <v>128</v>
      </c>
      <c r="K23" t="s">
        <v>128</v>
      </c>
      <c r="L23">
        <v>1232</v>
      </c>
      <c r="M23">
        <v>2400</v>
      </c>
    </row>
    <row r="24" spans="1:13" x14ac:dyDescent="0.2">
      <c r="A24">
        <v>22</v>
      </c>
      <c r="B24" t="s">
        <v>129</v>
      </c>
      <c r="C24" t="str">
        <f>VLOOKUP(routes[[#This Row],[zone]],Hoja2!A$1:B$20,2,FALSE)</f>
        <v>zona_nord</v>
      </c>
      <c r="D24" t="s">
        <v>130</v>
      </c>
      <c r="E24" t="s">
        <v>13</v>
      </c>
      <c r="F24" t="str">
        <f>VLOOKUP(routes[[#This Row],[difficulty]],Hoja2!C$1:D$3,2,FALSE)</f>
        <v>EXIGENT</v>
      </c>
      <c r="G24" t="s">
        <v>131</v>
      </c>
      <c r="H24" t="s">
        <v>132</v>
      </c>
      <c r="I24" t="s">
        <v>504</v>
      </c>
      <c r="J24" t="s">
        <v>133</v>
      </c>
      <c r="K24" t="s">
        <v>134</v>
      </c>
      <c r="L24">
        <v>1920</v>
      </c>
      <c r="M24">
        <v>2539</v>
      </c>
    </row>
    <row r="25" spans="1:13" x14ac:dyDescent="0.2">
      <c r="A25">
        <v>23</v>
      </c>
      <c r="B25" t="s">
        <v>135</v>
      </c>
      <c r="C25" t="str">
        <f>VLOOKUP(routes[[#This Row],[zone]],Hoja2!A$1:B$20,2,FALSE)</f>
        <v>zona_centre</v>
      </c>
      <c r="D25" t="s">
        <v>19</v>
      </c>
      <c r="E25" t="s">
        <v>13</v>
      </c>
      <c r="F25" t="str">
        <f>VLOOKUP(routes[[#This Row],[difficulty]],Hoja2!C$1:D$3,2,FALSE)</f>
        <v>EXIGENT</v>
      </c>
      <c r="G25" t="s">
        <v>136</v>
      </c>
      <c r="H25" t="s">
        <v>137</v>
      </c>
      <c r="I25" t="s">
        <v>510</v>
      </c>
      <c r="J25" t="s">
        <v>28</v>
      </c>
      <c r="K25" t="s">
        <v>138</v>
      </c>
      <c r="L25">
        <v>1887</v>
      </c>
      <c r="M25">
        <v>2663</v>
      </c>
    </row>
    <row r="26" spans="1:13" x14ac:dyDescent="0.2">
      <c r="A26">
        <v>24</v>
      </c>
      <c r="B26" t="s">
        <v>139</v>
      </c>
      <c r="C26" t="str">
        <f>VLOOKUP(routes[[#This Row],[zone]],Hoja2!A$1:B$20,2,FALSE)</f>
        <v>zona_nord</v>
      </c>
      <c r="D26" t="s">
        <v>79</v>
      </c>
      <c r="E26" t="s">
        <v>25</v>
      </c>
      <c r="F26" t="str">
        <f>VLOOKUP(routes[[#This Row],[difficulty]],Hoja2!C$1:D$3,2,FALSE)</f>
        <v>COMPLEX</v>
      </c>
      <c r="G26" t="s">
        <v>80</v>
      </c>
      <c r="H26" t="s">
        <v>140</v>
      </c>
      <c r="I26" t="s">
        <v>70</v>
      </c>
      <c r="J26" t="s">
        <v>82</v>
      </c>
      <c r="K26" t="s">
        <v>141</v>
      </c>
      <c r="L26">
        <v>1780</v>
      </c>
      <c r="M26">
        <v>2533</v>
      </c>
    </row>
    <row r="27" spans="1:13" x14ac:dyDescent="0.2">
      <c r="A27">
        <v>25</v>
      </c>
      <c r="B27" t="s">
        <v>142</v>
      </c>
      <c r="C27" t="str">
        <f>VLOOKUP(routes[[#This Row],[zone]],Hoja2!A$1:B$20,2,FALSE)</f>
        <v>zona_nord</v>
      </c>
      <c r="D27" t="s">
        <v>130</v>
      </c>
      <c r="E27" t="s">
        <v>13</v>
      </c>
      <c r="F27" t="str">
        <f>VLOOKUP(routes[[#This Row],[difficulty]],Hoja2!C$1:D$3,2,FALSE)</f>
        <v>EXIGENT</v>
      </c>
      <c r="G27" t="s">
        <v>143</v>
      </c>
      <c r="H27" t="s">
        <v>144</v>
      </c>
      <c r="I27" t="s">
        <v>145</v>
      </c>
      <c r="J27" t="s">
        <v>146</v>
      </c>
      <c r="K27" t="s">
        <v>147</v>
      </c>
      <c r="L27">
        <v>1825</v>
      </c>
      <c r="M27">
        <v>2640</v>
      </c>
    </row>
    <row r="28" spans="1:13" x14ac:dyDescent="0.2">
      <c r="A28">
        <v>26</v>
      </c>
      <c r="B28" t="s">
        <v>148</v>
      </c>
      <c r="C28" t="str">
        <f>VLOOKUP(routes[[#This Row],[zone]],Hoja2!A$1:B$20,2,FALSE)</f>
        <v>zona_centre</v>
      </c>
      <c r="D28" t="s">
        <v>149</v>
      </c>
      <c r="E28" t="s">
        <v>25</v>
      </c>
      <c r="F28" t="str">
        <f>VLOOKUP(routes[[#This Row],[difficulty]],Hoja2!C$1:D$3,2,FALSE)</f>
        <v>COMPLEX</v>
      </c>
      <c r="G28" t="s">
        <v>150</v>
      </c>
      <c r="H28" t="s">
        <v>151</v>
      </c>
      <c r="I28" t="s">
        <v>152</v>
      </c>
      <c r="J28" t="s">
        <v>153</v>
      </c>
      <c r="K28" t="s">
        <v>154</v>
      </c>
      <c r="L28">
        <v>1340</v>
      </c>
      <c r="M28">
        <v>2358</v>
      </c>
    </row>
    <row r="29" spans="1:13" x14ac:dyDescent="0.2">
      <c r="A29">
        <v>27</v>
      </c>
      <c r="B29" t="s">
        <v>155</v>
      </c>
      <c r="C29" t="str">
        <f>VLOOKUP(routes[[#This Row],[zone]],Hoja2!A$1:B$20,2,FALSE)</f>
        <v>zona_nord</v>
      </c>
      <c r="D29" t="s">
        <v>31</v>
      </c>
      <c r="E29" t="s">
        <v>39</v>
      </c>
      <c r="F29" t="str">
        <f>VLOOKUP(routes[[#This Row],[difficulty]],Hoja2!C$1:D$3,2,FALSE)</f>
        <v>SIMPLE</v>
      </c>
      <c r="G29" t="s">
        <v>156</v>
      </c>
      <c r="H29" t="s">
        <v>157</v>
      </c>
      <c r="I29" t="s">
        <v>34</v>
      </c>
      <c r="J29" t="s">
        <v>35</v>
      </c>
      <c r="K29" t="s">
        <v>158</v>
      </c>
      <c r="L29">
        <v>1720</v>
      </c>
      <c r="M29">
        <v>2250</v>
      </c>
    </row>
    <row r="30" spans="1:13" x14ac:dyDescent="0.2">
      <c r="A30">
        <v>28</v>
      </c>
      <c r="B30" t="s">
        <v>159</v>
      </c>
      <c r="C30" t="str">
        <f>VLOOKUP(routes[[#This Row],[zone]],Hoja2!A$1:B$20,2,FALSE)</f>
        <v>zona_centre</v>
      </c>
      <c r="D30" t="s">
        <v>19</v>
      </c>
      <c r="E30" t="s">
        <v>25</v>
      </c>
      <c r="F30" t="str">
        <f>VLOOKUP(routes[[#This Row],[difficulty]],Hoja2!C$1:D$3,2,FALSE)</f>
        <v>COMPLEX</v>
      </c>
      <c r="G30" t="s">
        <v>160</v>
      </c>
      <c r="H30" t="s">
        <v>161</v>
      </c>
      <c r="I30" t="s">
        <v>510</v>
      </c>
      <c r="J30" t="s">
        <v>28</v>
      </c>
      <c r="K30" t="s">
        <v>162</v>
      </c>
      <c r="L30">
        <v>1887</v>
      </c>
      <c r="M30">
        <v>2400</v>
      </c>
    </row>
    <row r="31" spans="1:13" x14ac:dyDescent="0.2">
      <c r="A31">
        <v>29</v>
      </c>
      <c r="B31" t="s">
        <v>163</v>
      </c>
      <c r="C31" t="str">
        <f>VLOOKUP(routes[[#This Row],[zone]],Hoja2!A$1:B$20,2,FALSE)</f>
        <v>zona_nord</v>
      </c>
      <c r="D31" t="s">
        <v>79</v>
      </c>
      <c r="E31" t="s">
        <v>39</v>
      </c>
      <c r="F31" t="str">
        <f>VLOOKUP(routes[[#This Row],[difficulty]],Hoja2!C$1:D$3,2,FALSE)</f>
        <v>SIMPLE</v>
      </c>
      <c r="G31" t="s">
        <v>164</v>
      </c>
      <c r="H31" t="s">
        <v>165</v>
      </c>
      <c r="I31" t="s">
        <v>511</v>
      </c>
      <c r="J31" t="s">
        <v>82</v>
      </c>
      <c r="K31" t="s">
        <v>166</v>
      </c>
      <c r="L31">
        <v>1780</v>
      </c>
      <c r="M31">
        <v>2339</v>
      </c>
    </row>
    <row r="32" spans="1:13" x14ac:dyDescent="0.2">
      <c r="A32">
        <v>30</v>
      </c>
      <c r="B32" t="s">
        <v>167</v>
      </c>
      <c r="C32" t="str">
        <f>VLOOKUP(routes[[#This Row],[zone]],Hoja2!A$1:B$20,2,FALSE)</f>
        <v>zona_nord</v>
      </c>
      <c r="D32" t="s">
        <v>67</v>
      </c>
      <c r="E32" t="s">
        <v>25</v>
      </c>
      <c r="F32" t="str">
        <f>VLOOKUP(routes[[#This Row],[difficulty]],Hoja2!C$1:D$3,2,FALSE)</f>
        <v>COMPLEX</v>
      </c>
      <c r="G32" t="s">
        <v>80</v>
      </c>
      <c r="H32" t="s">
        <v>168</v>
      </c>
      <c r="I32" t="s">
        <v>152</v>
      </c>
      <c r="J32" t="s">
        <v>71</v>
      </c>
      <c r="K32" t="s">
        <v>169</v>
      </c>
      <c r="L32">
        <v>1750</v>
      </c>
      <c r="M32">
        <v>2368</v>
      </c>
    </row>
    <row r="33" spans="1:13" x14ac:dyDescent="0.2">
      <c r="A33">
        <v>31</v>
      </c>
      <c r="B33" t="s">
        <v>170</v>
      </c>
      <c r="C33" t="str">
        <f>VLOOKUP(routes[[#This Row],[zone]],Hoja2!A$1:B$20,2,FALSE)</f>
        <v>zona_centre</v>
      </c>
      <c r="D33" t="s">
        <v>19</v>
      </c>
      <c r="E33" t="s">
        <v>25</v>
      </c>
      <c r="F33" t="str">
        <f>VLOOKUP(routes[[#This Row],[difficulty]],Hoja2!C$1:D$3,2,FALSE)</f>
        <v>COMPLEX</v>
      </c>
      <c r="G33" t="s">
        <v>58</v>
      </c>
      <c r="H33" t="s">
        <v>171</v>
      </c>
      <c r="I33" t="s">
        <v>501</v>
      </c>
      <c r="J33" t="s">
        <v>22</v>
      </c>
      <c r="K33" t="s">
        <v>172</v>
      </c>
      <c r="L33">
        <v>2090</v>
      </c>
      <c r="M33">
        <v>2470</v>
      </c>
    </row>
    <row r="34" spans="1:13" x14ac:dyDescent="0.2">
      <c r="A34">
        <v>32</v>
      </c>
      <c r="B34" t="s">
        <v>173</v>
      </c>
      <c r="C34" t="str">
        <f>VLOOKUP(routes[[#This Row],[zone]],Hoja2!A$1:B$20,2,FALSE)</f>
        <v>zona_nord</v>
      </c>
      <c r="D34" t="s">
        <v>12</v>
      </c>
      <c r="E34" t="s">
        <v>13</v>
      </c>
      <c r="F34" t="str">
        <f>VLOOKUP(routes[[#This Row],[difficulty]],Hoja2!C$1:D$3,2,FALSE)</f>
        <v>EXIGENT</v>
      </c>
      <c r="G34" t="s">
        <v>174</v>
      </c>
      <c r="H34" t="s">
        <v>175</v>
      </c>
      <c r="I34" t="s">
        <v>176</v>
      </c>
      <c r="J34" t="s">
        <v>17</v>
      </c>
      <c r="K34" t="s">
        <v>177</v>
      </c>
      <c r="L34">
        <v>1560</v>
      </c>
      <c r="M34">
        <v>2631</v>
      </c>
    </row>
    <row r="35" spans="1:13" x14ac:dyDescent="0.2">
      <c r="A35">
        <v>33</v>
      </c>
      <c r="B35" t="s">
        <v>178</v>
      </c>
      <c r="C35" t="str">
        <f>VLOOKUP(routes[[#This Row],[zone]],Hoja2!A$1:B$20,2,FALSE)</f>
        <v>zona_centre</v>
      </c>
      <c r="D35" t="s">
        <v>179</v>
      </c>
      <c r="E35" t="s">
        <v>39</v>
      </c>
      <c r="F35" t="str">
        <f>VLOOKUP(routes[[#This Row],[difficulty]],Hoja2!C$1:D$3,2,FALSE)</f>
        <v>SIMPLE</v>
      </c>
      <c r="G35" t="s">
        <v>180</v>
      </c>
      <c r="H35" t="s">
        <v>181</v>
      </c>
      <c r="I35" t="s">
        <v>34</v>
      </c>
      <c r="J35" t="s">
        <v>182</v>
      </c>
      <c r="K35" t="s">
        <v>154</v>
      </c>
      <c r="L35">
        <v>1900</v>
      </c>
      <c r="M35">
        <v>2358</v>
      </c>
    </row>
    <row r="36" spans="1:13" x14ac:dyDescent="0.2">
      <c r="A36">
        <v>34</v>
      </c>
      <c r="B36" t="s">
        <v>183</v>
      </c>
      <c r="C36" t="str">
        <f>VLOOKUP(routes[[#This Row],[zone]],Hoja2!A$1:B$20,2,FALSE)</f>
        <v>zona_nord</v>
      </c>
      <c r="D36" t="s">
        <v>67</v>
      </c>
      <c r="E36" t="s">
        <v>13</v>
      </c>
      <c r="F36" t="str">
        <f>VLOOKUP(routes[[#This Row],[difficulty]],Hoja2!C$1:D$3,2,FALSE)</f>
        <v>EXIGENT</v>
      </c>
      <c r="G36" t="s">
        <v>150</v>
      </c>
      <c r="H36" t="s">
        <v>184</v>
      </c>
      <c r="I36" t="s">
        <v>85</v>
      </c>
      <c r="J36" t="s">
        <v>71</v>
      </c>
      <c r="K36" t="s">
        <v>185</v>
      </c>
      <c r="L36">
        <v>1750</v>
      </c>
      <c r="M36">
        <v>2597</v>
      </c>
    </row>
    <row r="37" spans="1:13" x14ac:dyDescent="0.2">
      <c r="A37">
        <v>35</v>
      </c>
      <c r="B37" t="s">
        <v>186</v>
      </c>
      <c r="C37" t="str">
        <f>VLOOKUP(routes[[#This Row],[zone]],Hoja2!A$1:B$20,2,FALSE)</f>
        <v>zona_nord</v>
      </c>
      <c r="D37" t="s">
        <v>67</v>
      </c>
      <c r="E37" t="s">
        <v>13</v>
      </c>
      <c r="F37" t="str">
        <f>VLOOKUP(routes[[#This Row],[difficulty]],Hoja2!C$1:D$3,2,FALSE)</f>
        <v>EXIGENT</v>
      </c>
      <c r="G37" t="s">
        <v>187</v>
      </c>
      <c r="H37" t="s">
        <v>188</v>
      </c>
      <c r="I37" t="s">
        <v>152</v>
      </c>
      <c r="J37" t="s">
        <v>71</v>
      </c>
      <c r="K37" t="s">
        <v>189</v>
      </c>
      <c r="L37">
        <v>1750</v>
      </c>
      <c r="M37">
        <v>2731</v>
      </c>
    </row>
    <row r="38" spans="1:13" x14ac:dyDescent="0.2">
      <c r="A38">
        <v>36</v>
      </c>
      <c r="B38" t="s">
        <v>190</v>
      </c>
      <c r="C38" t="str">
        <f>VLOOKUP(routes[[#This Row],[zone]],Hoja2!A$1:B$20,2,FALSE)</f>
        <v>zona_centre</v>
      </c>
      <c r="D38" t="s">
        <v>149</v>
      </c>
      <c r="E38" t="s">
        <v>25</v>
      </c>
      <c r="F38" t="str">
        <f>VLOOKUP(routes[[#This Row],[difficulty]],Hoja2!C$1:D$3,2,FALSE)</f>
        <v>COMPLEX</v>
      </c>
      <c r="G38" t="s">
        <v>107</v>
      </c>
      <c r="H38" t="s">
        <v>191</v>
      </c>
      <c r="I38" t="s">
        <v>512</v>
      </c>
      <c r="J38" t="s">
        <v>153</v>
      </c>
      <c r="K38" t="s">
        <v>192</v>
      </c>
      <c r="L38">
        <v>1340</v>
      </c>
      <c r="M38">
        <v>2383</v>
      </c>
    </row>
    <row r="39" spans="1:13" x14ac:dyDescent="0.2">
      <c r="A39">
        <v>37</v>
      </c>
      <c r="B39" t="s">
        <v>193</v>
      </c>
      <c r="C39" t="str">
        <f>VLOOKUP(routes[[#This Row],[zone]],Hoja2!A$1:B$20,2,FALSE)</f>
        <v>zona_nord</v>
      </c>
      <c r="D39" t="s">
        <v>46</v>
      </c>
      <c r="E39" t="s">
        <v>13</v>
      </c>
      <c r="F39" t="str">
        <f>VLOOKUP(routes[[#This Row],[difficulty]],Hoja2!C$1:D$3,2,FALSE)</f>
        <v>EXIGENT</v>
      </c>
      <c r="G39" t="s">
        <v>194</v>
      </c>
      <c r="H39" t="s">
        <v>195</v>
      </c>
      <c r="I39" t="s">
        <v>513</v>
      </c>
      <c r="J39" t="s">
        <v>196</v>
      </c>
      <c r="K39" t="s">
        <v>197</v>
      </c>
      <c r="L39">
        <v>2138</v>
      </c>
      <c r="M39">
        <v>2822</v>
      </c>
    </row>
    <row r="40" spans="1:13" x14ac:dyDescent="0.2">
      <c r="A40">
        <v>38</v>
      </c>
      <c r="B40" t="s">
        <v>198</v>
      </c>
      <c r="C40" t="str">
        <f>VLOOKUP(routes[[#This Row],[zone]],Hoja2!A$1:B$20,2,FALSE)</f>
        <v>zona_nord</v>
      </c>
      <c r="D40" t="s">
        <v>12</v>
      </c>
      <c r="E40" t="s">
        <v>13</v>
      </c>
      <c r="F40" t="str">
        <f>VLOOKUP(routes[[#This Row],[difficulty]],Hoja2!C$1:D$3,2,FALSE)</f>
        <v>EXIGENT</v>
      </c>
      <c r="G40" t="s">
        <v>199</v>
      </c>
      <c r="H40" t="s">
        <v>200</v>
      </c>
      <c r="I40" t="s">
        <v>201</v>
      </c>
      <c r="J40" t="s">
        <v>17</v>
      </c>
      <c r="K40" t="s">
        <v>202</v>
      </c>
      <c r="L40">
        <v>1560</v>
      </c>
      <c r="M40">
        <v>2886</v>
      </c>
    </row>
    <row r="41" spans="1:13" x14ac:dyDescent="0.2">
      <c r="A41">
        <v>39</v>
      </c>
      <c r="B41" t="s">
        <v>203</v>
      </c>
      <c r="C41" t="str">
        <f>VLOOKUP(routes[[#This Row],[zone]],Hoja2!A$1:B$20,2,FALSE)</f>
        <v>zona_nord</v>
      </c>
      <c r="D41" t="s">
        <v>204</v>
      </c>
      <c r="E41" t="s">
        <v>13</v>
      </c>
      <c r="F41" t="str">
        <f>VLOOKUP(routes[[#This Row],[difficulty]],Hoja2!C$1:D$3,2,FALSE)</f>
        <v>EXIGENT</v>
      </c>
      <c r="G41" t="s">
        <v>205</v>
      </c>
      <c r="H41" t="s">
        <v>206</v>
      </c>
      <c r="I41" t="s">
        <v>514</v>
      </c>
      <c r="J41" t="s">
        <v>82</v>
      </c>
      <c r="K41" t="s">
        <v>207</v>
      </c>
      <c r="L41">
        <v>1780</v>
      </c>
      <c r="M41">
        <v>2702</v>
      </c>
    </row>
    <row r="42" spans="1:13" x14ac:dyDescent="0.2">
      <c r="A42">
        <v>40</v>
      </c>
      <c r="B42" t="s">
        <v>208</v>
      </c>
      <c r="C42" t="str">
        <f>VLOOKUP(routes[[#This Row],[zone]],Hoja2!A$1:B$20,2,FALSE)</f>
        <v>zona_nord</v>
      </c>
      <c r="D42" t="s">
        <v>79</v>
      </c>
      <c r="E42" t="s">
        <v>25</v>
      </c>
      <c r="F42" t="str">
        <f>VLOOKUP(routes[[#This Row],[difficulty]],Hoja2!C$1:D$3,2,FALSE)</f>
        <v>COMPLEX</v>
      </c>
      <c r="G42" t="s">
        <v>209</v>
      </c>
      <c r="H42" t="s">
        <v>210</v>
      </c>
      <c r="I42" t="s">
        <v>515</v>
      </c>
      <c r="J42" t="s">
        <v>82</v>
      </c>
      <c r="K42" t="s">
        <v>207</v>
      </c>
      <c r="L42">
        <v>1780</v>
      </c>
      <c r="M42">
        <v>2702</v>
      </c>
    </row>
    <row r="43" spans="1:13" x14ac:dyDescent="0.2">
      <c r="A43">
        <v>41</v>
      </c>
      <c r="B43" t="s">
        <v>211</v>
      </c>
      <c r="C43" t="str">
        <f>VLOOKUP(routes[[#This Row],[zone]],Hoja2!A$1:B$20,2,FALSE)</f>
        <v>zona_nord</v>
      </c>
      <c r="D43" t="s">
        <v>204</v>
      </c>
      <c r="E43" t="s">
        <v>13</v>
      </c>
      <c r="F43" t="str">
        <f>VLOOKUP(routes[[#This Row],[difficulty]],Hoja2!C$1:D$3,2,FALSE)</f>
        <v>EXIGENT</v>
      </c>
      <c r="G43" t="s">
        <v>160</v>
      </c>
      <c r="H43" t="s">
        <v>212</v>
      </c>
      <c r="I43" t="s">
        <v>34</v>
      </c>
      <c r="J43" t="s">
        <v>82</v>
      </c>
      <c r="K43" t="s">
        <v>213</v>
      </c>
      <c r="L43">
        <v>1780</v>
      </c>
      <c r="M43">
        <v>2639</v>
      </c>
    </row>
    <row r="44" spans="1:13" x14ac:dyDescent="0.2">
      <c r="A44">
        <v>42</v>
      </c>
      <c r="B44" t="s">
        <v>211</v>
      </c>
      <c r="C44" t="str">
        <f>VLOOKUP(routes[[#This Row],[zone]],Hoja2!A$1:B$20,2,FALSE)</f>
        <v>zona_nord</v>
      </c>
      <c r="D44" t="s">
        <v>214</v>
      </c>
      <c r="E44" t="s">
        <v>25</v>
      </c>
      <c r="F44" t="str">
        <f>VLOOKUP(routes[[#This Row],[difficulty]],Hoja2!C$1:D$3,2,FALSE)</f>
        <v>COMPLEX</v>
      </c>
      <c r="G44" t="s">
        <v>160</v>
      </c>
      <c r="H44" t="s">
        <v>215</v>
      </c>
      <c r="I44" t="s">
        <v>512</v>
      </c>
      <c r="J44" t="s">
        <v>216</v>
      </c>
      <c r="K44" t="s">
        <v>213</v>
      </c>
      <c r="L44">
        <v>1854</v>
      </c>
      <c r="M44">
        <v>2639</v>
      </c>
    </row>
    <row r="45" spans="1:13" x14ac:dyDescent="0.2">
      <c r="A45">
        <v>43</v>
      </c>
      <c r="B45" t="s">
        <v>217</v>
      </c>
      <c r="C45" t="str">
        <f>VLOOKUP(routes[[#This Row],[zone]],Hoja2!A$1:B$20,2,FALSE)</f>
        <v>zona_centre</v>
      </c>
      <c r="D45" t="s">
        <v>149</v>
      </c>
      <c r="E45" t="s">
        <v>25</v>
      </c>
      <c r="F45" t="str">
        <f>VLOOKUP(routes[[#This Row],[difficulty]],Hoja2!C$1:D$3,2,FALSE)</f>
        <v>COMPLEX</v>
      </c>
      <c r="G45" t="s">
        <v>218</v>
      </c>
      <c r="H45" t="s">
        <v>219</v>
      </c>
      <c r="I45" t="s">
        <v>34</v>
      </c>
      <c r="J45" t="s">
        <v>153</v>
      </c>
      <c r="K45" t="s">
        <v>220</v>
      </c>
      <c r="L45">
        <v>1340</v>
      </c>
      <c r="M45">
        <v>2332</v>
      </c>
    </row>
    <row r="46" spans="1:13" x14ac:dyDescent="0.2">
      <c r="A46">
        <v>44</v>
      </c>
      <c r="B46" t="s">
        <v>221</v>
      </c>
      <c r="C46" t="str">
        <f>VLOOKUP(routes[[#This Row],[zone]],Hoja2!A$1:B$20,2,FALSE)</f>
        <v>zona_nord</v>
      </c>
      <c r="D46" t="s">
        <v>100</v>
      </c>
      <c r="E46" t="s">
        <v>13</v>
      </c>
      <c r="F46" t="str">
        <f>VLOOKUP(routes[[#This Row],[difficulty]],Hoja2!C$1:D$3,2,FALSE)</f>
        <v>EXIGENT</v>
      </c>
      <c r="G46" t="s">
        <v>222</v>
      </c>
      <c r="H46" t="s">
        <v>223</v>
      </c>
      <c r="I46" t="s">
        <v>34</v>
      </c>
      <c r="J46" t="s">
        <v>110</v>
      </c>
      <c r="K46" t="s">
        <v>224</v>
      </c>
      <c r="L46">
        <v>2090</v>
      </c>
      <c r="M46">
        <v>2805</v>
      </c>
    </row>
    <row r="47" spans="1:13" x14ac:dyDescent="0.2">
      <c r="A47">
        <v>45</v>
      </c>
      <c r="B47" t="s">
        <v>225</v>
      </c>
      <c r="C47" t="str">
        <f>VLOOKUP(routes[[#This Row],[zone]],Hoja2!A$1:B$20,2,FALSE)</f>
        <v>zona_nord</v>
      </c>
      <c r="D47" t="s">
        <v>12</v>
      </c>
      <c r="E47" t="s">
        <v>13</v>
      </c>
      <c r="F47" t="str">
        <f>VLOOKUP(routes[[#This Row],[difficulty]],Hoja2!C$1:D$3,2,FALSE)</f>
        <v>EXIGENT</v>
      </c>
      <c r="G47" t="s">
        <v>226</v>
      </c>
      <c r="H47" t="s">
        <v>227</v>
      </c>
      <c r="I47" t="s">
        <v>201</v>
      </c>
      <c r="J47" t="s">
        <v>17</v>
      </c>
      <c r="K47" t="s">
        <v>228</v>
      </c>
      <c r="L47">
        <v>1560</v>
      </c>
      <c r="M47">
        <v>2942</v>
      </c>
    </row>
    <row r="48" spans="1:13" x14ac:dyDescent="0.2">
      <c r="A48">
        <v>46</v>
      </c>
      <c r="B48" t="s">
        <v>229</v>
      </c>
      <c r="C48" t="str">
        <f>VLOOKUP(routes[[#This Row],[zone]],Hoja2!A$1:B$20,2,FALSE)</f>
        <v>zona_nord</v>
      </c>
      <c r="D48" t="s">
        <v>100</v>
      </c>
      <c r="E48" t="s">
        <v>13</v>
      </c>
      <c r="F48" t="str">
        <f>VLOOKUP(routes[[#This Row],[difficulty]],Hoja2!C$1:D$3,2,FALSE)</f>
        <v>EXIGENT</v>
      </c>
      <c r="G48" t="s">
        <v>80</v>
      </c>
      <c r="H48" t="s">
        <v>230</v>
      </c>
      <c r="I48" t="s">
        <v>176</v>
      </c>
      <c r="J48" t="s">
        <v>110</v>
      </c>
      <c r="K48" t="s">
        <v>231</v>
      </c>
      <c r="L48">
        <v>2090</v>
      </c>
      <c r="M48">
        <v>2682</v>
      </c>
    </row>
    <row r="49" spans="1:13" x14ac:dyDescent="0.2">
      <c r="A49">
        <v>47</v>
      </c>
      <c r="B49" t="s">
        <v>232</v>
      </c>
      <c r="C49" t="str">
        <f>VLOOKUP(routes[[#This Row],[zone]],Hoja2!A$1:B$20,2,FALSE)</f>
        <v>zona_nord</v>
      </c>
      <c r="D49" t="s">
        <v>46</v>
      </c>
      <c r="E49" t="s">
        <v>13</v>
      </c>
      <c r="F49" t="str">
        <f>VLOOKUP(routes[[#This Row],[difficulty]],Hoja2!C$1:D$3,2,FALSE)</f>
        <v>EXIGENT</v>
      </c>
      <c r="G49" t="s">
        <v>68</v>
      </c>
      <c r="H49" t="s">
        <v>233</v>
      </c>
      <c r="I49" t="s">
        <v>516</v>
      </c>
      <c r="J49" t="s">
        <v>49</v>
      </c>
      <c r="K49" t="s">
        <v>234</v>
      </c>
      <c r="L49">
        <v>2100</v>
      </c>
      <c r="M49">
        <v>2820</v>
      </c>
    </row>
    <row r="50" spans="1:13" x14ac:dyDescent="0.2">
      <c r="A50">
        <v>48</v>
      </c>
      <c r="B50" t="s">
        <v>235</v>
      </c>
      <c r="C50" t="str">
        <f>VLOOKUP(routes[[#This Row],[zone]],Hoja2!A$1:B$20,2,FALSE)</f>
        <v>zona_centre</v>
      </c>
      <c r="D50" t="s">
        <v>19</v>
      </c>
      <c r="E50" t="s">
        <v>25</v>
      </c>
      <c r="F50" t="str">
        <f>VLOOKUP(routes[[#This Row],[difficulty]],Hoja2!C$1:D$3,2,FALSE)</f>
        <v>COMPLEX</v>
      </c>
      <c r="G50" t="s">
        <v>236</v>
      </c>
      <c r="H50" t="s">
        <v>237</v>
      </c>
      <c r="I50" t="s">
        <v>502</v>
      </c>
      <c r="J50" t="s">
        <v>28</v>
      </c>
      <c r="K50" t="s">
        <v>238</v>
      </c>
      <c r="L50">
        <v>1887</v>
      </c>
      <c r="M50">
        <v>2697</v>
      </c>
    </row>
    <row r="51" spans="1:13" x14ac:dyDescent="0.2">
      <c r="A51">
        <v>49</v>
      </c>
      <c r="B51" t="s">
        <v>239</v>
      </c>
      <c r="C51" t="str">
        <f>VLOOKUP(routes[[#This Row],[zone]],Hoja2!A$1:B$20,2,FALSE)</f>
        <v>zona_nord</v>
      </c>
      <c r="D51" t="s">
        <v>52</v>
      </c>
      <c r="E51" t="s">
        <v>13</v>
      </c>
      <c r="F51" t="str">
        <f>VLOOKUP(routes[[#This Row],[difficulty]],Hoja2!C$1:D$3,2,FALSE)</f>
        <v>EXIGENT</v>
      </c>
      <c r="G51" t="s">
        <v>240</v>
      </c>
      <c r="H51" t="s">
        <v>241</v>
      </c>
      <c r="I51" t="s">
        <v>85</v>
      </c>
      <c r="J51" t="s">
        <v>55</v>
      </c>
      <c r="K51" t="s">
        <v>242</v>
      </c>
      <c r="L51">
        <v>1953</v>
      </c>
      <c r="M51">
        <v>2716</v>
      </c>
    </row>
    <row r="52" spans="1:13" x14ac:dyDescent="0.2">
      <c r="A52">
        <v>50</v>
      </c>
      <c r="B52" t="s">
        <v>243</v>
      </c>
      <c r="C52" t="str">
        <f>VLOOKUP(routes[[#This Row],[zone]],Hoja2!A$1:B$20,2,FALSE)</f>
        <v>zona_nord</v>
      </c>
      <c r="D52" t="s">
        <v>79</v>
      </c>
      <c r="E52" t="s">
        <v>25</v>
      </c>
      <c r="F52" t="str">
        <f>VLOOKUP(routes[[#This Row],[difficulty]],Hoja2!C$1:D$3,2,FALSE)</f>
        <v>COMPLEX</v>
      </c>
      <c r="G52" t="s">
        <v>244</v>
      </c>
      <c r="H52" t="s">
        <v>245</v>
      </c>
      <c r="I52" t="s">
        <v>511</v>
      </c>
      <c r="J52" t="s">
        <v>82</v>
      </c>
      <c r="K52" t="s">
        <v>246</v>
      </c>
      <c r="L52">
        <v>1780</v>
      </c>
      <c r="M52">
        <v>2915</v>
      </c>
    </row>
    <row r="53" spans="1:13" x14ac:dyDescent="0.2">
      <c r="A53">
        <v>51</v>
      </c>
      <c r="B53" t="s">
        <v>247</v>
      </c>
      <c r="C53" t="str">
        <f>VLOOKUP(routes[[#This Row],[zone]],Hoja2!A$1:B$20,2,FALSE)</f>
        <v>zona_nord</v>
      </c>
      <c r="D53" t="s">
        <v>130</v>
      </c>
      <c r="E53" t="s">
        <v>13</v>
      </c>
      <c r="F53" t="str">
        <f>VLOOKUP(routes[[#This Row],[difficulty]],Hoja2!C$1:D$3,2,FALSE)</f>
        <v>EXIGENT</v>
      </c>
      <c r="G53" t="s">
        <v>248</v>
      </c>
      <c r="H53" t="s">
        <v>249</v>
      </c>
      <c r="I53" t="s">
        <v>517</v>
      </c>
      <c r="J53" t="s">
        <v>146</v>
      </c>
      <c r="K53" t="s">
        <v>250</v>
      </c>
      <c r="L53">
        <v>1825</v>
      </c>
      <c r="M53">
        <v>2915</v>
      </c>
    </row>
    <row r="54" spans="1:13" x14ac:dyDescent="0.2">
      <c r="A54">
        <v>52</v>
      </c>
      <c r="B54" t="s">
        <v>251</v>
      </c>
      <c r="C54" t="str">
        <f>VLOOKUP(routes[[#This Row],[zone]],Hoja2!A$1:B$20,2,FALSE)</f>
        <v>zona_nord</v>
      </c>
      <c r="D54" t="s">
        <v>100</v>
      </c>
      <c r="E54" t="s">
        <v>25</v>
      </c>
      <c r="F54" t="str">
        <f>VLOOKUP(routes[[#This Row],[difficulty]],Hoja2!C$1:D$3,2,FALSE)</f>
        <v>COMPLEX</v>
      </c>
      <c r="G54" t="s">
        <v>252</v>
      </c>
      <c r="H54" t="s">
        <v>253</v>
      </c>
      <c r="I54" t="s">
        <v>34</v>
      </c>
      <c r="J54" t="s">
        <v>104</v>
      </c>
      <c r="K54" t="s">
        <v>254</v>
      </c>
      <c r="L54">
        <v>1940</v>
      </c>
      <c r="M54">
        <v>2562</v>
      </c>
    </row>
    <row r="55" spans="1:13" x14ac:dyDescent="0.2">
      <c r="A55">
        <v>53</v>
      </c>
      <c r="B55" t="s">
        <v>255</v>
      </c>
      <c r="C55" t="str">
        <f>VLOOKUP(routes[[#This Row],[zone]],Hoja2!A$1:B$20,2,FALSE)</f>
        <v>zona_nord</v>
      </c>
      <c r="D55" t="s">
        <v>130</v>
      </c>
      <c r="E55" t="s">
        <v>13</v>
      </c>
      <c r="F55" t="str">
        <f>VLOOKUP(routes[[#This Row],[difficulty]],Hoja2!C$1:D$3,2,FALSE)</f>
        <v>EXIGENT</v>
      </c>
      <c r="G55" t="s">
        <v>256</v>
      </c>
      <c r="H55" t="s">
        <v>257</v>
      </c>
      <c r="I55" t="s">
        <v>517</v>
      </c>
      <c r="J55" t="s">
        <v>146</v>
      </c>
      <c r="K55" t="s">
        <v>258</v>
      </c>
      <c r="L55">
        <v>1825</v>
      </c>
      <c r="M55">
        <v>2865</v>
      </c>
    </row>
    <row r="56" spans="1:13" x14ac:dyDescent="0.2">
      <c r="A56">
        <v>54</v>
      </c>
      <c r="B56" t="s">
        <v>259</v>
      </c>
      <c r="C56" t="str">
        <f>VLOOKUP(routes[[#This Row],[zone]],Hoja2!A$1:B$20,2,FALSE)</f>
        <v>zona_nord</v>
      </c>
      <c r="D56" t="s">
        <v>67</v>
      </c>
      <c r="E56" t="s">
        <v>13</v>
      </c>
      <c r="F56" t="str">
        <f>VLOOKUP(routes[[#This Row],[difficulty]],Hoja2!C$1:D$3,2,FALSE)</f>
        <v>EXIGENT</v>
      </c>
      <c r="G56" t="s">
        <v>260</v>
      </c>
      <c r="H56" t="s">
        <v>261</v>
      </c>
      <c r="I56" t="s">
        <v>510</v>
      </c>
      <c r="J56" t="s">
        <v>71</v>
      </c>
      <c r="K56" t="s">
        <v>262</v>
      </c>
      <c r="L56">
        <v>1750</v>
      </c>
      <c r="M56">
        <v>2817</v>
      </c>
    </row>
    <row r="57" spans="1:13" x14ac:dyDescent="0.2">
      <c r="A57">
        <v>55</v>
      </c>
      <c r="B57" t="s">
        <v>263</v>
      </c>
      <c r="C57" t="str">
        <f>VLOOKUP(routes[[#This Row],[zone]],Hoja2!A$1:B$20,2,FALSE)</f>
        <v>zona_nord</v>
      </c>
      <c r="D57" t="s">
        <v>52</v>
      </c>
      <c r="E57" t="s">
        <v>13</v>
      </c>
      <c r="F57" t="str">
        <f>VLOOKUP(routes[[#This Row],[difficulty]],Hoja2!C$1:D$3,2,FALSE)</f>
        <v>EXIGENT</v>
      </c>
      <c r="G57" t="s">
        <v>160</v>
      </c>
      <c r="H57" t="s">
        <v>264</v>
      </c>
      <c r="I57" t="s">
        <v>42</v>
      </c>
      <c r="J57" t="s">
        <v>55</v>
      </c>
      <c r="K57" t="s">
        <v>265</v>
      </c>
      <c r="L57">
        <v>1953</v>
      </c>
      <c r="M57">
        <v>2856</v>
      </c>
    </row>
    <row r="58" spans="1:13" x14ac:dyDescent="0.2">
      <c r="A58">
        <v>56</v>
      </c>
      <c r="B58" t="s">
        <v>266</v>
      </c>
      <c r="C58" t="str">
        <f>VLOOKUP(routes[[#This Row],[zone]],Hoja2!A$1:B$20,2,FALSE)</f>
        <v>zona_nord</v>
      </c>
      <c r="D58" t="s">
        <v>67</v>
      </c>
      <c r="E58" t="s">
        <v>13</v>
      </c>
      <c r="F58" t="str">
        <f>VLOOKUP(routes[[#This Row],[difficulty]],Hoja2!C$1:D$3,2,FALSE)</f>
        <v>EXIGENT</v>
      </c>
      <c r="G58" t="s">
        <v>267</v>
      </c>
      <c r="H58" t="s">
        <v>268</v>
      </c>
      <c r="I58" t="s">
        <v>42</v>
      </c>
      <c r="J58" t="s">
        <v>71</v>
      </c>
      <c r="K58" t="s">
        <v>269</v>
      </c>
      <c r="L58">
        <v>1750</v>
      </c>
      <c r="M58">
        <v>2760</v>
      </c>
    </row>
    <row r="59" spans="1:13" x14ac:dyDescent="0.2">
      <c r="A59">
        <v>57</v>
      </c>
      <c r="B59" t="s">
        <v>266</v>
      </c>
      <c r="C59" t="str">
        <f>VLOOKUP(routes[[#This Row],[zone]],Hoja2!A$1:B$20,2,FALSE)</f>
        <v>zona_nord</v>
      </c>
      <c r="D59" t="s">
        <v>52</v>
      </c>
      <c r="E59" t="s">
        <v>25</v>
      </c>
      <c r="F59" t="str">
        <f>VLOOKUP(routes[[#This Row],[difficulty]],Hoja2!C$1:D$3,2,FALSE)</f>
        <v>COMPLEX</v>
      </c>
      <c r="G59" t="s">
        <v>32</v>
      </c>
      <c r="H59" t="s">
        <v>270</v>
      </c>
      <c r="I59" t="s">
        <v>518</v>
      </c>
      <c r="J59" t="s">
        <v>55</v>
      </c>
      <c r="K59" t="s">
        <v>269</v>
      </c>
      <c r="L59">
        <v>1953</v>
      </c>
      <c r="M59">
        <v>2760</v>
      </c>
    </row>
    <row r="60" spans="1:13" x14ac:dyDescent="0.2">
      <c r="A60">
        <v>58</v>
      </c>
      <c r="B60" t="s">
        <v>271</v>
      </c>
      <c r="C60" t="str">
        <f>VLOOKUP(routes[[#This Row],[zone]],Hoja2!A$1:B$20,2,FALSE)</f>
        <v>zona_nord</v>
      </c>
      <c r="D60" t="s">
        <v>214</v>
      </c>
      <c r="E60" t="s">
        <v>13</v>
      </c>
      <c r="F60" t="str">
        <f>VLOOKUP(routes[[#This Row],[difficulty]],Hoja2!C$1:D$3,2,FALSE)</f>
        <v>EXIGENT</v>
      </c>
      <c r="G60" t="s">
        <v>272</v>
      </c>
      <c r="H60" t="s">
        <v>273</v>
      </c>
      <c r="I60" t="s">
        <v>519</v>
      </c>
      <c r="J60" t="s">
        <v>216</v>
      </c>
      <c r="K60" t="s">
        <v>274</v>
      </c>
      <c r="L60">
        <v>1854</v>
      </c>
      <c r="M60">
        <v>2903</v>
      </c>
    </row>
    <row r="61" spans="1:13" x14ac:dyDescent="0.2">
      <c r="A61">
        <v>59</v>
      </c>
      <c r="B61" t="s">
        <v>275</v>
      </c>
      <c r="C61" t="str">
        <f>VLOOKUP(routes[[#This Row],[zone]],Hoja2!A$1:B$20,2,FALSE)</f>
        <v>zona_centre</v>
      </c>
      <c r="D61" t="s">
        <v>125</v>
      </c>
      <c r="E61" t="s">
        <v>25</v>
      </c>
      <c r="F61" t="str">
        <f>VLOOKUP(routes[[#This Row],[difficulty]],Hoja2!C$1:D$3,2,FALSE)</f>
        <v>COMPLEX</v>
      </c>
      <c r="G61" t="s">
        <v>116</v>
      </c>
      <c r="H61" t="s">
        <v>276</v>
      </c>
      <c r="I61" t="s">
        <v>520</v>
      </c>
      <c r="J61" t="s">
        <v>128</v>
      </c>
      <c r="K61" t="s">
        <v>277</v>
      </c>
      <c r="L61">
        <v>1232</v>
      </c>
      <c r="M61">
        <v>2522</v>
      </c>
    </row>
    <row r="62" spans="1:13" x14ac:dyDescent="0.2">
      <c r="A62">
        <v>60</v>
      </c>
      <c r="B62" t="s">
        <v>278</v>
      </c>
      <c r="C62" t="str">
        <f>VLOOKUP(routes[[#This Row],[zone]],Hoja2!A$1:B$20,2,FALSE)</f>
        <v>zona_nord</v>
      </c>
      <c r="D62" t="s">
        <v>46</v>
      </c>
      <c r="E62" t="s">
        <v>25</v>
      </c>
      <c r="F62" t="str">
        <f>VLOOKUP(routes[[#This Row],[difficulty]],Hoja2!C$1:D$3,2,FALSE)</f>
        <v>COMPLEX</v>
      </c>
      <c r="G62" t="s">
        <v>131</v>
      </c>
      <c r="H62" t="s">
        <v>279</v>
      </c>
      <c r="I62" t="s">
        <v>521</v>
      </c>
      <c r="J62" t="s">
        <v>49</v>
      </c>
      <c r="K62" t="s">
        <v>280</v>
      </c>
      <c r="L62">
        <v>2100</v>
      </c>
      <c r="M62">
        <v>2775</v>
      </c>
    </row>
    <row r="63" spans="1:13" x14ac:dyDescent="0.2">
      <c r="A63">
        <v>61</v>
      </c>
      <c r="B63" t="s">
        <v>281</v>
      </c>
      <c r="C63" t="str">
        <f>VLOOKUP(routes[[#This Row],[zone]],Hoja2!A$1:B$20,2,FALSE)</f>
        <v>zona_nord</v>
      </c>
      <c r="D63" t="s">
        <v>130</v>
      </c>
      <c r="E63" t="s">
        <v>13</v>
      </c>
      <c r="F63" t="str">
        <f>VLOOKUP(routes[[#This Row],[difficulty]],Hoja2!C$1:D$3,2,FALSE)</f>
        <v>EXIGENT</v>
      </c>
      <c r="G63" t="s">
        <v>282</v>
      </c>
      <c r="H63" t="s">
        <v>283</v>
      </c>
      <c r="I63" t="s">
        <v>522</v>
      </c>
      <c r="J63" t="s">
        <v>146</v>
      </c>
      <c r="K63" t="s">
        <v>284</v>
      </c>
      <c r="L63">
        <v>1825</v>
      </c>
      <c r="M63">
        <v>2685</v>
      </c>
    </row>
    <row r="64" spans="1:13" x14ac:dyDescent="0.2">
      <c r="A64">
        <v>62</v>
      </c>
      <c r="B64" t="s">
        <v>285</v>
      </c>
      <c r="C64" t="str">
        <f>VLOOKUP(routes[[#This Row],[zone]],Hoja2!A$1:B$20,2,FALSE)</f>
        <v>zona_nord</v>
      </c>
      <c r="D64" t="s">
        <v>52</v>
      </c>
      <c r="E64" t="s">
        <v>13</v>
      </c>
      <c r="F64" t="str">
        <f>VLOOKUP(routes[[#This Row],[difficulty]],Hoja2!C$1:D$3,2,FALSE)</f>
        <v>EXIGENT</v>
      </c>
      <c r="G64" t="s">
        <v>180</v>
      </c>
      <c r="H64" t="s">
        <v>286</v>
      </c>
      <c r="I64" t="s">
        <v>85</v>
      </c>
      <c r="J64" t="s">
        <v>55</v>
      </c>
      <c r="K64" t="s">
        <v>287</v>
      </c>
      <c r="L64">
        <v>1953</v>
      </c>
      <c r="M64">
        <v>2776</v>
      </c>
    </row>
    <row r="65" spans="1:13" x14ac:dyDescent="0.2">
      <c r="A65">
        <v>63</v>
      </c>
      <c r="B65" t="s">
        <v>288</v>
      </c>
      <c r="C65" t="str">
        <f>VLOOKUP(routes[[#This Row],[zone]],Hoja2!A$1:B$20,2,FALSE)</f>
        <v>zona_nord</v>
      </c>
      <c r="D65" t="s">
        <v>52</v>
      </c>
      <c r="E65" t="s">
        <v>13</v>
      </c>
      <c r="F65" t="str">
        <f>VLOOKUP(routes[[#This Row],[difficulty]],Hoja2!C$1:D$3,2,FALSE)</f>
        <v>EXIGENT</v>
      </c>
      <c r="G65" t="s">
        <v>160</v>
      </c>
      <c r="H65" t="s">
        <v>289</v>
      </c>
      <c r="I65" t="s">
        <v>42</v>
      </c>
      <c r="J65" t="s">
        <v>55</v>
      </c>
      <c r="K65" t="s">
        <v>290</v>
      </c>
      <c r="L65">
        <v>1953</v>
      </c>
      <c r="M65">
        <v>2912</v>
      </c>
    </row>
    <row r="66" spans="1:13" x14ac:dyDescent="0.2">
      <c r="A66">
        <v>64</v>
      </c>
      <c r="B66" t="s">
        <v>288</v>
      </c>
      <c r="C66" t="str">
        <f>VLOOKUP(routes[[#This Row],[zone]],Hoja2!A$1:B$20,2,FALSE)</f>
        <v>zona_nord</v>
      </c>
      <c r="D66" t="s">
        <v>79</v>
      </c>
      <c r="E66" t="s">
        <v>13</v>
      </c>
      <c r="F66" t="str">
        <f>VLOOKUP(routes[[#This Row],[difficulty]],Hoja2!C$1:D$3,2,FALSE)</f>
        <v>EXIGENT</v>
      </c>
      <c r="G66" t="s">
        <v>291</v>
      </c>
      <c r="H66" t="s">
        <v>292</v>
      </c>
      <c r="I66" t="s">
        <v>523</v>
      </c>
      <c r="J66" t="s">
        <v>82</v>
      </c>
      <c r="K66" t="s">
        <v>293</v>
      </c>
      <c r="L66">
        <v>1780</v>
      </c>
      <c r="M66">
        <v>2913</v>
      </c>
    </row>
    <row r="67" spans="1:13" x14ac:dyDescent="0.2">
      <c r="A67">
        <v>65</v>
      </c>
      <c r="B67" t="s">
        <v>294</v>
      </c>
      <c r="C67" t="str">
        <f>VLOOKUP(routes[[#This Row],[zone]],Hoja2!A$1:B$20,2,FALSE)</f>
        <v>zona_nord</v>
      </c>
      <c r="D67" t="s">
        <v>130</v>
      </c>
      <c r="E67" t="s">
        <v>13</v>
      </c>
      <c r="F67" t="str">
        <f>VLOOKUP(routes[[#This Row],[difficulty]],Hoja2!C$1:D$3,2,FALSE)</f>
        <v>EXIGENT</v>
      </c>
      <c r="G67" t="s">
        <v>295</v>
      </c>
      <c r="H67" t="s">
        <v>121</v>
      </c>
      <c r="I67" t="s">
        <v>517</v>
      </c>
      <c r="J67" t="s">
        <v>146</v>
      </c>
      <c r="K67" t="s">
        <v>296</v>
      </c>
      <c r="L67">
        <v>1825</v>
      </c>
      <c r="M67">
        <v>2546</v>
      </c>
    </row>
    <row r="68" spans="1:13" x14ac:dyDescent="0.2">
      <c r="A68">
        <v>66</v>
      </c>
      <c r="B68" t="s">
        <v>297</v>
      </c>
      <c r="C68" t="str">
        <f>VLOOKUP(routes[[#This Row],[zone]],Hoja2!A$1:B$20,2,FALSE)</f>
        <v>zona_nord</v>
      </c>
      <c r="D68" t="s">
        <v>67</v>
      </c>
      <c r="E68" t="s">
        <v>25</v>
      </c>
      <c r="F68" t="str">
        <f>VLOOKUP(routes[[#This Row],[difficulty]],Hoja2!C$1:D$3,2,FALSE)</f>
        <v>COMPLEX</v>
      </c>
      <c r="G68" t="s">
        <v>14</v>
      </c>
      <c r="H68" t="s">
        <v>298</v>
      </c>
      <c r="I68" t="s">
        <v>512</v>
      </c>
      <c r="J68" t="s">
        <v>71</v>
      </c>
      <c r="K68" t="s">
        <v>299</v>
      </c>
      <c r="L68">
        <v>1750</v>
      </c>
      <c r="M68">
        <v>2568</v>
      </c>
    </row>
    <row r="69" spans="1:13" x14ac:dyDescent="0.2">
      <c r="A69">
        <v>67</v>
      </c>
      <c r="B69" t="s">
        <v>300</v>
      </c>
      <c r="C69" t="str">
        <f>VLOOKUP(routes[[#This Row],[zone]],Hoja2!A$1:B$20,2,FALSE)</f>
        <v>zona_nord</v>
      </c>
      <c r="D69" t="s">
        <v>67</v>
      </c>
      <c r="E69" t="s">
        <v>13</v>
      </c>
      <c r="F69" t="str">
        <f>VLOOKUP(routes[[#This Row],[difficulty]],Hoja2!C$1:D$3,2,FALSE)</f>
        <v>EXIGENT</v>
      </c>
      <c r="G69" t="s">
        <v>107</v>
      </c>
      <c r="H69" t="s">
        <v>301</v>
      </c>
      <c r="I69" t="s">
        <v>502</v>
      </c>
      <c r="J69" t="s">
        <v>71</v>
      </c>
      <c r="K69" t="s">
        <v>302</v>
      </c>
      <c r="L69">
        <v>1750</v>
      </c>
      <c r="M69">
        <v>2698</v>
      </c>
    </row>
    <row r="70" spans="1:13" x14ac:dyDescent="0.2">
      <c r="A70">
        <v>68</v>
      </c>
      <c r="B70" t="s">
        <v>303</v>
      </c>
      <c r="C70" t="str">
        <f>VLOOKUP(routes[[#This Row],[zone]],Hoja2!A$1:B$20,2,FALSE)</f>
        <v>zona_nord</v>
      </c>
      <c r="D70" t="s">
        <v>67</v>
      </c>
      <c r="E70" t="s">
        <v>25</v>
      </c>
      <c r="F70" t="str">
        <f>VLOOKUP(routes[[#This Row],[difficulty]],Hoja2!C$1:D$3,2,FALSE)</f>
        <v>COMPLEX</v>
      </c>
      <c r="G70" t="s">
        <v>304</v>
      </c>
      <c r="H70" t="s">
        <v>305</v>
      </c>
      <c r="I70" t="s">
        <v>524</v>
      </c>
      <c r="J70" t="s">
        <v>71</v>
      </c>
      <c r="K70" t="s">
        <v>306</v>
      </c>
      <c r="L70">
        <v>1750</v>
      </c>
      <c r="M70">
        <v>2747</v>
      </c>
    </row>
    <row r="71" spans="1:13" x14ac:dyDescent="0.2">
      <c r="A71">
        <v>69</v>
      </c>
      <c r="B71" t="s">
        <v>307</v>
      </c>
      <c r="C71" t="str">
        <f>VLOOKUP(routes[[#This Row],[zone]],Hoja2!A$1:B$20,2,FALSE)</f>
        <v>zona_nord</v>
      </c>
      <c r="D71" t="s">
        <v>214</v>
      </c>
      <c r="E71" t="s">
        <v>13</v>
      </c>
      <c r="F71" t="str">
        <f>VLOOKUP(routes[[#This Row],[difficulty]],Hoja2!C$1:D$3,2,FALSE)</f>
        <v>EXIGENT</v>
      </c>
      <c r="G71" t="s">
        <v>63</v>
      </c>
      <c r="H71" t="s">
        <v>308</v>
      </c>
      <c r="I71" t="s">
        <v>525</v>
      </c>
      <c r="J71" t="s">
        <v>216</v>
      </c>
      <c r="K71" t="s">
        <v>309</v>
      </c>
      <c r="L71">
        <v>1854</v>
      </c>
      <c r="M71">
        <v>2683</v>
      </c>
    </row>
    <row r="72" spans="1:13" x14ac:dyDescent="0.2">
      <c r="A72">
        <v>70</v>
      </c>
      <c r="B72" t="s">
        <v>310</v>
      </c>
      <c r="C72" t="str">
        <f>VLOOKUP(routes[[#This Row],[zone]],Hoja2!A$1:B$20,2,FALSE)</f>
        <v>zona_nord</v>
      </c>
      <c r="D72" t="s">
        <v>12</v>
      </c>
      <c r="E72" t="s">
        <v>13</v>
      </c>
      <c r="F72" t="str">
        <f>VLOOKUP(routes[[#This Row],[difficulty]],Hoja2!C$1:D$3,2,FALSE)</f>
        <v>EXIGENT</v>
      </c>
      <c r="G72" t="s">
        <v>222</v>
      </c>
      <c r="H72" t="s">
        <v>311</v>
      </c>
      <c r="I72" t="s">
        <v>526</v>
      </c>
      <c r="J72" t="s">
        <v>17</v>
      </c>
      <c r="K72" t="s">
        <v>312</v>
      </c>
      <c r="L72">
        <v>1560</v>
      </c>
      <c r="M72">
        <v>2749</v>
      </c>
    </row>
    <row r="73" spans="1:13" x14ac:dyDescent="0.2">
      <c r="A73">
        <v>71</v>
      </c>
      <c r="B73" t="s">
        <v>313</v>
      </c>
      <c r="C73" t="str">
        <f>VLOOKUP(routes[[#This Row],[zone]],Hoja2!A$1:B$20,2,FALSE)</f>
        <v>zona_nord</v>
      </c>
      <c r="D73" t="s">
        <v>67</v>
      </c>
      <c r="E73" t="s">
        <v>13</v>
      </c>
      <c r="F73" t="str">
        <f>VLOOKUP(routes[[#This Row],[difficulty]],Hoja2!C$1:D$3,2,FALSE)</f>
        <v>EXIGENT</v>
      </c>
      <c r="G73" t="s">
        <v>314</v>
      </c>
      <c r="H73" t="s">
        <v>315</v>
      </c>
      <c r="I73" t="s">
        <v>42</v>
      </c>
      <c r="J73" t="s">
        <v>71</v>
      </c>
      <c r="K73" t="s">
        <v>316</v>
      </c>
      <c r="L73">
        <v>1750</v>
      </c>
      <c r="M73">
        <v>2681</v>
      </c>
    </row>
    <row r="74" spans="1:13" x14ac:dyDescent="0.2">
      <c r="A74">
        <v>72</v>
      </c>
      <c r="B74" t="s">
        <v>317</v>
      </c>
      <c r="C74" t="str">
        <f>VLOOKUP(routes[[#This Row],[zone]],Hoja2!A$1:B$20,2,FALSE)</f>
        <v>zona_nord</v>
      </c>
      <c r="D74" t="s">
        <v>12</v>
      </c>
      <c r="E74" t="s">
        <v>13</v>
      </c>
      <c r="F74" t="str">
        <f>VLOOKUP(routes[[#This Row],[difficulty]],Hoja2!C$1:D$3,2,FALSE)</f>
        <v>EXIGENT</v>
      </c>
      <c r="G74" t="s">
        <v>150</v>
      </c>
      <c r="H74" t="s">
        <v>318</v>
      </c>
      <c r="I74" t="s">
        <v>176</v>
      </c>
      <c r="J74" t="s">
        <v>17</v>
      </c>
      <c r="K74" t="s">
        <v>319</v>
      </c>
      <c r="L74">
        <v>1560</v>
      </c>
      <c r="M74">
        <v>2914</v>
      </c>
    </row>
    <row r="75" spans="1:13" x14ac:dyDescent="0.2">
      <c r="A75">
        <v>73</v>
      </c>
      <c r="B75" t="s">
        <v>320</v>
      </c>
      <c r="C75" t="str">
        <f>VLOOKUP(routes[[#This Row],[zone]],Hoja2!A$1:B$20,2,FALSE)</f>
        <v>zona_nord</v>
      </c>
      <c r="D75" t="s">
        <v>52</v>
      </c>
      <c r="E75" t="s">
        <v>13</v>
      </c>
      <c r="F75" t="str">
        <f>VLOOKUP(routes[[#This Row],[difficulty]],Hoja2!C$1:D$3,2,FALSE)</f>
        <v>EXIGENT</v>
      </c>
      <c r="G75" t="s">
        <v>20</v>
      </c>
      <c r="H75" t="s">
        <v>321</v>
      </c>
      <c r="I75" t="s">
        <v>42</v>
      </c>
      <c r="J75" t="s">
        <v>55</v>
      </c>
      <c r="K75" t="s">
        <v>322</v>
      </c>
      <c r="L75">
        <v>1953</v>
      </c>
      <c r="M75">
        <v>2778</v>
      </c>
    </row>
    <row r="76" spans="1:13" x14ac:dyDescent="0.2">
      <c r="A76">
        <v>74</v>
      </c>
      <c r="B76" t="s">
        <v>323</v>
      </c>
      <c r="C76" t="str">
        <f>VLOOKUP(routes[[#This Row],[zone]],Hoja2!A$1:B$20,2,FALSE)</f>
        <v>zona_nord</v>
      </c>
      <c r="D76" t="s">
        <v>46</v>
      </c>
      <c r="E76" t="s">
        <v>25</v>
      </c>
      <c r="F76" t="str">
        <f>VLOOKUP(routes[[#This Row],[difficulty]],Hoja2!C$1:D$3,2,FALSE)</f>
        <v>COMPLEX</v>
      </c>
      <c r="G76" t="s">
        <v>32</v>
      </c>
      <c r="H76" t="s">
        <v>324</v>
      </c>
      <c r="I76" t="s">
        <v>325</v>
      </c>
      <c r="J76" t="s">
        <v>49</v>
      </c>
      <c r="K76" t="s">
        <v>326</v>
      </c>
      <c r="L76">
        <v>2100</v>
      </c>
      <c r="M76">
        <v>2781</v>
      </c>
    </row>
    <row r="77" spans="1:13" x14ac:dyDescent="0.2">
      <c r="A77">
        <v>75</v>
      </c>
      <c r="B77" t="s">
        <v>327</v>
      </c>
      <c r="C77" t="str">
        <f>VLOOKUP(routes[[#This Row],[zone]],Hoja2!A$1:B$20,2,FALSE)</f>
        <v>zona_centre</v>
      </c>
      <c r="D77" t="s">
        <v>125</v>
      </c>
      <c r="E77" t="s">
        <v>25</v>
      </c>
      <c r="F77" t="str">
        <f>VLOOKUP(routes[[#This Row],[difficulty]],Hoja2!C$1:D$3,2,FALSE)</f>
        <v>COMPLEX</v>
      </c>
      <c r="G77" t="s">
        <v>328</v>
      </c>
      <c r="H77" t="s">
        <v>329</v>
      </c>
      <c r="I77" t="s">
        <v>527</v>
      </c>
      <c r="J77" t="s">
        <v>128</v>
      </c>
      <c r="K77" t="s">
        <v>330</v>
      </c>
      <c r="L77">
        <v>1232</v>
      </c>
      <c r="M77">
        <v>2754</v>
      </c>
    </row>
    <row r="78" spans="1:13" x14ac:dyDescent="0.2">
      <c r="A78">
        <v>76</v>
      </c>
      <c r="B78" t="s">
        <v>331</v>
      </c>
      <c r="C78" t="str">
        <f>VLOOKUP(routes[[#This Row],[zone]],Hoja2!A$1:B$20,2,FALSE)</f>
        <v>zona_nord</v>
      </c>
      <c r="D78" t="s">
        <v>67</v>
      </c>
      <c r="E78" t="s">
        <v>13</v>
      </c>
      <c r="F78" t="str">
        <f>VLOOKUP(routes[[#This Row],[difficulty]],Hoja2!C$1:D$3,2,FALSE)</f>
        <v>EXIGENT</v>
      </c>
      <c r="G78" t="s">
        <v>209</v>
      </c>
      <c r="H78" t="s">
        <v>332</v>
      </c>
      <c r="I78" t="s">
        <v>333</v>
      </c>
      <c r="J78" t="s">
        <v>71</v>
      </c>
      <c r="K78" t="s">
        <v>334</v>
      </c>
      <c r="L78">
        <v>1750</v>
      </c>
      <c r="M78">
        <v>2737</v>
      </c>
    </row>
    <row r="79" spans="1:13" x14ac:dyDescent="0.2">
      <c r="A79">
        <v>77</v>
      </c>
      <c r="B79" t="s">
        <v>335</v>
      </c>
      <c r="C79" t="str">
        <f>VLOOKUP(routes[[#This Row],[zone]],Hoja2!A$1:B$20,2,FALSE)</f>
        <v>zona_nord</v>
      </c>
      <c r="D79" t="s">
        <v>38</v>
      </c>
      <c r="E79" t="s">
        <v>25</v>
      </c>
      <c r="F79" t="str">
        <f>VLOOKUP(routes[[#This Row],[difficulty]],Hoja2!C$1:D$3,2,FALSE)</f>
        <v>COMPLEX</v>
      </c>
      <c r="G79" t="s">
        <v>336</v>
      </c>
      <c r="H79" t="s">
        <v>337</v>
      </c>
      <c r="I79" t="s">
        <v>42</v>
      </c>
      <c r="J79" t="s">
        <v>43</v>
      </c>
      <c r="K79" t="s">
        <v>338</v>
      </c>
      <c r="L79">
        <v>1940</v>
      </c>
      <c r="M79">
        <v>2641</v>
      </c>
    </row>
    <row r="80" spans="1:13" x14ac:dyDescent="0.2">
      <c r="A80">
        <v>78</v>
      </c>
      <c r="B80" t="s">
        <v>339</v>
      </c>
      <c r="C80" t="str">
        <f>VLOOKUP(routes[[#This Row],[zone]],Hoja2!A$1:B$20,2,FALSE)</f>
        <v>zona_nord</v>
      </c>
      <c r="D80" t="s">
        <v>12</v>
      </c>
      <c r="E80" t="s">
        <v>13</v>
      </c>
      <c r="F80" t="str">
        <f>VLOOKUP(routes[[#This Row],[difficulty]],Hoja2!C$1:D$3,2,FALSE)</f>
        <v>EXIGENT</v>
      </c>
      <c r="G80" t="s">
        <v>340</v>
      </c>
      <c r="H80" t="s">
        <v>341</v>
      </c>
      <c r="I80" t="s">
        <v>528</v>
      </c>
      <c r="J80" t="s">
        <v>17</v>
      </c>
      <c r="K80" t="s">
        <v>342</v>
      </c>
      <c r="L80">
        <v>1560</v>
      </c>
      <c r="M80">
        <v>2838</v>
      </c>
    </row>
    <row r="81" spans="1:13" x14ac:dyDescent="0.2">
      <c r="A81">
        <v>79</v>
      </c>
      <c r="B81" t="s">
        <v>343</v>
      </c>
      <c r="C81" t="str">
        <f>VLOOKUP(routes[[#This Row],[zone]],Hoja2!A$1:B$20,2,FALSE)</f>
        <v>zona_sud</v>
      </c>
      <c r="D81" t="s">
        <v>344</v>
      </c>
      <c r="E81" t="s">
        <v>13</v>
      </c>
      <c r="F81" t="str">
        <f>VLOOKUP(routes[[#This Row],[difficulty]],Hoja2!C$1:D$3,2,FALSE)</f>
        <v>EXIGENT</v>
      </c>
      <c r="G81" t="s">
        <v>345</v>
      </c>
      <c r="H81" t="s">
        <v>346</v>
      </c>
      <c r="I81" t="s">
        <v>42</v>
      </c>
      <c r="J81" t="s">
        <v>347</v>
      </c>
      <c r="K81" t="s">
        <v>348</v>
      </c>
      <c r="L81">
        <v>1945</v>
      </c>
      <c r="M81">
        <v>2817</v>
      </c>
    </row>
    <row r="82" spans="1:13" x14ac:dyDescent="0.2">
      <c r="A82">
        <v>80</v>
      </c>
      <c r="B82" t="s">
        <v>349</v>
      </c>
      <c r="C82" t="str">
        <f>VLOOKUP(routes[[#This Row],[zone]],Hoja2!A$1:B$20,2,FALSE)</f>
        <v>zona_nord</v>
      </c>
      <c r="D82" t="s">
        <v>67</v>
      </c>
      <c r="E82" t="s">
        <v>13</v>
      </c>
      <c r="F82" t="str">
        <f>VLOOKUP(routes[[#This Row],[difficulty]],Hoja2!C$1:D$3,2,FALSE)</f>
        <v>EXIGENT</v>
      </c>
      <c r="G82" t="s">
        <v>350</v>
      </c>
      <c r="H82" t="s">
        <v>351</v>
      </c>
      <c r="I82" t="s">
        <v>333</v>
      </c>
      <c r="J82" t="s">
        <v>71</v>
      </c>
      <c r="K82" t="s">
        <v>352</v>
      </c>
      <c r="L82">
        <v>1750</v>
      </c>
      <c r="M82">
        <v>2621</v>
      </c>
    </row>
    <row r="83" spans="1:13" x14ac:dyDescent="0.2">
      <c r="A83">
        <v>81</v>
      </c>
      <c r="B83" t="s">
        <v>353</v>
      </c>
      <c r="C83" t="str">
        <f>VLOOKUP(routes[[#This Row],[zone]],Hoja2!A$1:B$20,2,FALSE)</f>
        <v>zona_nord</v>
      </c>
      <c r="D83" t="s">
        <v>12</v>
      </c>
      <c r="E83" t="s">
        <v>13</v>
      </c>
      <c r="F83" t="str">
        <f>VLOOKUP(routes[[#This Row],[difficulty]],Hoja2!C$1:D$3,2,FALSE)</f>
        <v>EXIGENT</v>
      </c>
      <c r="G83" t="s">
        <v>354</v>
      </c>
      <c r="H83" t="s">
        <v>355</v>
      </c>
      <c r="I83" t="s">
        <v>356</v>
      </c>
      <c r="J83" t="s">
        <v>17</v>
      </c>
      <c r="K83" t="s">
        <v>357</v>
      </c>
      <c r="L83">
        <v>1560</v>
      </c>
      <c r="M83">
        <v>2889</v>
      </c>
    </row>
    <row r="84" spans="1:13" x14ac:dyDescent="0.2">
      <c r="A84">
        <v>82</v>
      </c>
      <c r="B84" t="s">
        <v>358</v>
      </c>
      <c r="C84" t="str">
        <f>VLOOKUP(routes[[#This Row],[zone]],Hoja2!A$1:B$20,2,FALSE)</f>
        <v>zona_nord</v>
      </c>
      <c r="D84" t="s">
        <v>46</v>
      </c>
      <c r="E84" t="s">
        <v>13</v>
      </c>
      <c r="F84" t="str">
        <f>VLOOKUP(routes[[#This Row],[difficulty]],Hoja2!C$1:D$3,2,FALSE)</f>
        <v>EXIGENT</v>
      </c>
      <c r="G84" t="s">
        <v>58</v>
      </c>
      <c r="H84" t="s">
        <v>359</v>
      </c>
      <c r="I84" t="s">
        <v>34</v>
      </c>
      <c r="J84" t="s">
        <v>49</v>
      </c>
      <c r="K84" t="s">
        <v>360</v>
      </c>
      <c r="L84">
        <v>2100</v>
      </c>
      <c r="M84">
        <v>2776</v>
      </c>
    </row>
    <row r="85" spans="1:13" x14ac:dyDescent="0.2">
      <c r="A85">
        <v>83</v>
      </c>
      <c r="B85" t="s">
        <v>361</v>
      </c>
      <c r="C85" t="str">
        <f>VLOOKUP(routes[[#This Row],[zone]],Hoja2!A$1:B$20,2,FALSE)</f>
        <v>zona_nord</v>
      </c>
      <c r="D85" t="s">
        <v>67</v>
      </c>
      <c r="E85" t="s">
        <v>13</v>
      </c>
      <c r="F85" t="str">
        <f>VLOOKUP(routes[[#This Row],[difficulty]],Hoja2!C$1:D$3,2,FALSE)</f>
        <v>EXIGENT</v>
      </c>
      <c r="G85" t="s">
        <v>260</v>
      </c>
      <c r="H85" t="s">
        <v>270</v>
      </c>
      <c r="I85" t="s">
        <v>510</v>
      </c>
      <c r="J85" t="s">
        <v>71</v>
      </c>
      <c r="K85" t="s">
        <v>362</v>
      </c>
      <c r="L85">
        <v>1750</v>
      </c>
      <c r="M85">
        <v>2637</v>
      </c>
    </row>
    <row r="86" spans="1:13" x14ac:dyDescent="0.2">
      <c r="A86">
        <v>84</v>
      </c>
      <c r="B86" t="s">
        <v>363</v>
      </c>
      <c r="C86" t="str">
        <f>VLOOKUP(routes[[#This Row],[zone]],Hoja2!A$1:B$20,2,FALSE)</f>
        <v>zona_nord</v>
      </c>
      <c r="D86" t="s">
        <v>130</v>
      </c>
      <c r="E86" t="s">
        <v>13</v>
      </c>
      <c r="F86" t="str">
        <f>VLOOKUP(routes[[#This Row],[difficulty]],Hoja2!C$1:D$3,2,FALSE)</f>
        <v>EXIGENT</v>
      </c>
      <c r="G86" t="s">
        <v>364</v>
      </c>
      <c r="H86" t="s">
        <v>365</v>
      </c>
      <c r="I86" t="s">
        <v>522</v>
      </c>
      <c r="J86" t="s">
        <v>146</v>
      </c>
      <c r="K86" t="s">
        <v>366</v>
      </c>
      <c r="L86">
        <v>1825</v>
      </c>
      <c r="M86">
        <v>2585</v>
      </c>
    </row>
    <row r="87" spans="1:13" x14ac:dyDescent="0.2">
      <c r="A87">
        <v>85</v>
      </c>
      <c r="B87" t="s">
        <v>367</v>
      </c>
      <c r="C87" t="str">
        <f>VLOOKUP(routes[[#This Row],[zone]],Hoja2!A$1:B$20,2,FALSE)</f>
        <v>zona_nord</v>
      </c>
      <c r="D87" t="s">
        <v>368</v>
      </c>
      <c r="E87" t="s">
        <v>39</v>
      </c>
      <c r="F87" t="str">
        <f>VLOOKUP(routes[[#This Row],[difficulty]],Hoja2!C$1:D$3,2,FALSE)</f>
        <v>SIMPLE</v>
      </c>
      <c r="G87" t="s">
        <v>369</v>
      </c>
      <c r="H87" t="s">
        <v>370</v>
      </c>
      <c r="I87" t="s">
        <v>529</v>
      </c>
      <c r="J87" t="s">
        <v>371</v>
      </c>
      <c r="K87" t="s">
        <v>372</v>
      </c>
      <c r="L87">
        <v>2408</v>
      </c>
      <c r="M87">
        <v>2617</v>
      </c>
    </row>
    <row r="88" spans="1:13" x14ac:dyDescent="0.2">
      <c r="A88">
        <v>86</v>
      </c>
      <c r="B88" t="s">
        <v>373</v>
      </c>
      <c r="C88" t="str">
        <f>VLOOKUP(routes[[#This Row],[zone]],Hoja2!A$1:B$20,2,FALSE)</f>
        <v>zona_nord</v>
      </c>
      <c r="D88" t="s">
        <v>12</v>
      </c>
      <c r="E88" t="s">
        <v>13</v>
      </c>
      <c r="F88" t="str">
        <f>VLOOKUP(routes[[#This Row],[difficulty]],Hoja2!C$1:D$3,2,FALSE)</f>
        <v>EXIGENT</v>
      </c>
      <c r="G88" t="s">
        <v>150</v>
      </c>
      <c r="H88" t="s">
        <v>374</v>
      </c>
      <c r="I88" t="s">
        <v>530</v>
      </c>
      <c r="J88" t="s">
        <v>17</v>
      </c>
      <c r="K88" t="s">
        <v>375</v>
      </c>
      <c r="L88">
        <v>1560</v>
      </c>
      <c r="M88">
        <v>2860</v>
      </c>
    </row>
    <row r="89" spans="1:13" x14ac:dyDescent="0.2">
      <c r="A89">
        <v>87</v>
      </c>
      <c r="B89" t="s">
        <v>376</v>
      </c>
      <c r="C89" t="str">
        <f>VLOOKUP(routes[[#This Row],[zone]],Hoja2!A$1:B$20,2,FALSE)</f>
        <v>zona_nord</v>
      </c>
      <c r="D89" t="s">
        <v>204</v>
      </c>
      <c r="E89" t="s">
        <v>13</v>
      </c>
      <c r="F89" t="str">
        <f>VLOOKUP(routes[[#This Row],[difficulty]],Hoja2!C$1:D$3,2,FALSE)</f>
        <v>EXIGENT</v>
      </c>
      <c r="G89" t="s">
        <v>74</v>
      </c>
      <c r="H89" t="s">
        <v>377</v>
      </c>
      <c r="I89" t="s">
        <v>502</v>
      </c>
      <c r="J89" t="s">
        <v>82</v>
      </c>
      <c r="K89" t="s">
        <v>378</v>
      </c>
      <c r="L89">
        <v>1780</v>
      </c>
      <c r="M89">
        <v>2638</v>
      </c>
    </row>
    <row r="90" spans="1:13" x14ac:dyDescent="0.2">
      <c r="A90">
        <v>88</v>
      </c>
      <c r="B90" t="s">
        <v>379</v>
      </c>
      <c r="C90" t="str">
        <f>VLOOKUP(routes[[#This Row],[zone]],Hoja2!A$1:B$20,2,FALSE)</f>
        <v>zona_nord</v>
      </c>
      <c r="D90" t="s">
        <v>79</v>
      </c>
      <c r="E90" t="s">
        <v>25</v>
      </c>
      <c r="F90" t="str">
        <f>VLOOKUP(routes[[#This Row],[difficulty]],Hoja2!C$1:D$3,2,FALSE)</f>
        <v>COMPLEX</v>
      </c>
      <c r="G90" t="s">
        <v>174</v>
      </c>
      <c r="H90" t="s">
        <v>380</v>
      </c>
      <c r="I90" t="s">
        <v>531</v>
      </c>
      <c r="J90" t="s">
        <v>82</v>
      </c>
      <c r="K90" t="s">
        <v>381</v>
      </c>
      <c r="L90">
        <v>1780</v>
      </c>
      <c r="M90">
        <v>2741</v>
      </c>
    </row>
    <row r="91" spans="1:13" x14ac:dyDescent="0.2">
      <c r="A91">
        <v>89</v>
      </c>
      <c r="B91" t="s">
        <v>382</v>
      </c>
      <c r="C91" t="str">
        <f>VLOOKUP(routes[[#This Row],[zone]],Hoja2!A$1:B$20,2,FALSE)</f>
        <v>zona_nord</v>
      </c>
      <c r="D91" t="s">
        <v>130</v>
      </c>
      <c r="E91" t="s">
        <v>25</v>
      </c>
      <c r="F91" t="str">
        <f>VLOOKUP(routes[[#This Row],[difficulty]],Hoja2!C$1:D$3,2,FALSE)</f>
        <v>COMPLEX</v>
      </c>
      <c r="G91" t="s">
        <v>354</v>
      </c>
      <c r="H91" t="s">
        <v>383</v>
      </c>
      <c r="I91" t="s">
        <v>517</v>
      </c>
      <c r="J91" t="s">
        <v>133</v>
      </c>
      <c r="K91" t="s">
        <v>384</v>
      </c>
      <c r="L91">
        <v>1920</v>
      </c>
      <c r="M91">
        <v>2468</v>
      </c>
    </row>
    <row r="92" spans="1:13" x14ac:dyDescent="0.2">
      <c r="A92">
        <v>90</v>
      </c>
      <c r="B92" t="s">
        <v>385</v>
      </c>
      <c r="C92" t="str">
        <f>VLOOKUP(routes[[#This Row],[zone]],Hoja2!A$1:B$20,2,FALSE)</f>
        <v>zona_centre</v>
      </c>
      <c r="D92" t="s">
        <v>179</v>
      </c>
      <c r="E92" t="s">
        <v>25</v>
      </c>
      <c r="F92" t="str">
        <f>VLOOKUP(routes[[#This Row],[difficulty]],Hoja2!C$1:D$3,2,FALSE)</f>
        <v>COMPLEX</v>
      </c>
      <c r="G92" t="s">
        <v>340</v>
      </c>
      <c r="H92" t="s">
        <v>386</v>
      </c>
      <c r="I92" t="s">
        <v>532</v>
      </c>
      <c r="J92" t="s">
        <v>387</v>
      </c>
      <c r="K92" t="s">
        <v>388</v>
      </c>
      <c r="L92">
        <v>2090</v>
      </c>
      <c r="M92">
        <v>2692</v>
      </c>
    </row>
    <row r="93" spans="1:13" x14ac:dyDescent="0.2">
      <c r="A93">
        <v>91</v>
      </c>
      <c r="B93" t="s">
        <v>389</v>
      </c>
      <c r="C93" t="str">
        <f>VLOOKUP(routes[[#This Row],[zone]],Hoja2!A$1:B$20,2,FALSE)</f>
        <v>zona_nord</v>
      </c>
      <c r="D93" t="s">
        <v>46</v>
      </c>
      <c r="E93" t="s">
        <v>13</v>
      </c>
      <c r="F93" t="str">
        <f>VLOOKUP(routes[[#This Row],[difficulty]],Hoja2!C$1:D$3,2,FALSE)</f>
        <v>EXIGENT</v>
      </c>
      <c r="G93" t="s">
        <v>390</v>
      </c>
      <c r="H93" t="s">
        <v>391</v>
      </c>
      <c r="I93" t="s">
        <v>16</v>
      </c>
      <c r="J93" t="s">
        <v>49</v>
      </c>
      <c r="K93" t="s">
        <v>392</v>
      </c>
      <c r="L93">
        <v>2100</v>
      </c>
      <c r="M93">
        <v>2862</v>
      </c>
    </row>
    <row r="94" spans="1:13" x14ac:dyDescent="0.2">
      <c r="A94">
        <v>92</v>
      </c>
      <c r="B94" t="s">
        <v>393</v>
      </c>
      <c r="C94" t="str">
        <f>VLOOKUP(routes[[#This Row],[zone]],Hoja2!A$1:B$20,2,FALSE)</f>
        <v>zona_sud</v>
      </c>
      <c r="D94" t="s">
        <v>394</v>
      </c>
      <c r="E94" t="s">
        <v>39</v>
      </c>
      <c r="F94" t="str">
        <f>VLOOKUP(routes[[#This Row],[difficulty]],Hoja2!C$1:D$3,2,FALSE)</f>
        <v>SIMPLE</v>
      </c>
      <c r="G94" t="s">
        <v>395</v>
      </c>
      <c r="H94" t="s">
        <v>396</v>
      </c>
      <c r="I94" t="s">
        <v>85</v>
      </c>
      <c r="J94" t="s">
        <v>397</v>
      </c>
      <c r="K94" t="s">
        <v>398</v>
      </c>
      <c r="L94">
        <v>2040</v>
      </c>
      <c r="M94">
        <v>2644</v>
      </c>
    </row>
    <row r="95" spans="1:13" x14ac:dyDescent="0.2">
      <c r="A95">
        <v>93</v>
      </c>
      <c r="B95" t="s">
        <v>399</v>
      </c>
      <c r="C95" t="str">
        <f>VLOOKUP(routes[[#This Row],[zone]],Hoja2!A$1:B$20,2,FALSE)</f>
        <v>zona_nord</v>
      </c>
      <c r="D95" t="s">
        <v>130</v>
      </c>
      <c r="E95" t="s">
        <v>13</v>
      </c>
      <c r="F95" t="str">
        <f>VLOOKUP(routes[[#This Row],[difficulty]],Hoja2!C$1:D$3,2,FALSE)</f>
        <v>EXIGENT</v>
      </c>
      <c r="G95" t="s">
        <v>400</v>
      </c>
      <c r="H95" t="s">
        <v>401</v>
      </c>
      <c r="I95" t="s">
        <v>176</v>
      </c>
      <c r="J95" t="s">
        <v>133</v>
      </c>
      <c r="K95" t="s">
        <v>402</v>
      </c>
      <c r="L95">
        <v>1920</v>
      </c>
      <c r="M95">
        <v>2750</v>
      </c>
    </row>
    <row r="96" spans="1:13" x14ac:dyDescent="0.2">
      <c r="A96">
        <v>94</v>
      </c>
      <c r="B96" t="s">
        <v>403</v>
      </c>
      <c r="C96" t="str">
        <f>VLOOKUP(routes[[#This Row],[zone]],Hoja2!A$1:B$20,2,FALSE)</f>
        <v>zona_centre</v>
      </c>
      <c r="D96" t="s">
        <v>179</v>
      </c>
      <c r="E96" t="s">
        <v>39</v>
      </c>
      <c r="F96" t="str">
        <f>VLOOKUP(routes[[#This Row],[difficulty]],Hoja2!C$1:D$3,2,FALSE)</f>
        <v>SIMPLE</v>
      </c>
      <c r="G96" t="s">
        <v>404</v>
      </c>
      <c r="H96" t="s">
        <v>405</v>
      </c>
      <c r="I96" t="s">
        <v>34</v>
      </c>
      <c r="J96" t="s">
        <v>406</v>
      </c>
      <c r="K96" t="s">
        <v>407</v>
      </c>
      <c r="L96">
        <v>1780</v>
      </c>
      <c r="M96">
        <v>2080</v>
      </c>
    </row>
    <row r="97" spans="1:13" x14ac:dyDescent="0.2">
      <c r="A97">
        <v>95</v>
      </c>
      <c r="B97" t="s">
        <v>408</v>
      </c>
      <c r="C97" t="str">
        <f>VLOOKUP(routes[[#This Row],[zone]],Hoja2!A$1:B$20,2,FALSE)</f>
        <v>zona_nord</v>
      </c>
      <c r="D97" t="s">
        <v>67</v>
      </c>
      <c r="E97" t="s">
        <v>25</v>
      </c>
      <c r="F97" t="str">
        <f>VLOOKUP(routes[[#This Row],[difficulty]],Hoja2!C$1:D$3,2,FALSE)</f>
        <v>COMPLEX</v>
      </c>
      <c r="G97" t="s">
        <v>409</v>
      </c>
      <c r="H97" t="s">
        <v>410</v>
      </c>
      <c r="I97" t="s">
        <v>514</v>
      </c>
      <c r="J97" t="s">
        <v>71</v>
      </c>
      <c r="K97" t="s">
        <v>411</v>
      </c>
      <c r="L97">
        <v>1750</v>
      </c>
      <c r="M97">
        <v>2261</v>
      </c>
    </row>
    <row r="98" spans="1:13" x14ac:dyDescent="0.2">
      <c r="A98">
        <v>96</v>
      </c>
      <c r="B98" t="s">
        <v>412</v>
      </c>
      <c r="C98" t="str">
        <f>VLOOKUP(routes[[#This Row],[zone]],Hoja2!A$1:B$20,2,FALSE)</f>
        <v>zona_nord</v>
      </c>
      <c r="D98" t="s">
        <v>100</v>
      </c>
      <c r="E98" t="s">
        <v>13</v>
      </c>
      <c r="F98" t="str">
        <f>VLOOKUP(routes[[#This Row],[difficulty]],Hoja2!C$1:D$3,2,FALSE)</f>
        <v>EXIGENT</v>
      </c>
      <c r="G98" t="s">
        <v>222</v>
      </c>
      <c r="H98" t="s">
        <v>413</v>
      </c>
      <c r="I98" t="s">
        <v>511</v>
      </c>
      <c r="J98" t="s">
        <v>104</v>
      </c>
      <c r="K98" t="s">
        <v>414</v>
      </c>
      <c r="L98">
        <v>1940</v>
      </c>
      <c r="M98">
        <v>2600</v>
      </c>
    </row>
    <row r="99" spans="1:13" x14ac:dyDescent="0.2">
      <c r="A99">
        <v>97</v>
      </c>
      <c r="B99" t="s">
        <v>415</v>
      </c>
      <c r="C99" t="str">
        <f>VLOOKUP(routes[[#This Row],[zone]],Hoja2!A$1:B$20,2,FALSE)</f>
        <v>zona_nord</v>
      </c>
      <c r="D99" t="s">
        <v>214</v>
      </c>
      <c r="E99" t="s">
        <v>13</v>
      </c>
      <c r="F99" t="str">
        <f>VLOOKUP(routes[[#This Row],[difficulty]],Hoja2!C$1:D$3,2,FALSE)</f>
        <v>EXIGENT</v>
      </c>
      <c r="G99" t="s">
        <v>194</v>
      </c>
      <c r="H99" t="s">
        <v>416</v>
      </c>
      <c r="I99" t="s">
        <v>525</v>
      </c>
      <c r="J99" t="s">
        <v>216</v>
      </c>
      <c r="K99" t="s">
        <v>417</v>
      </c>
      <c r="L99">
        <v>1854</v>
      </c>
      <c r="M99">
        <v>2510</v>
      </c>
    </row>
    <row r="100" spans="1:13" x14ac:dyDescent="0.2">
      <c r="A100">
        <v>98</v>
      </c>
      <c r="B100" t="s">
        <v>418</v>
      </c>
      <c r="C100" t="str">
        <f>VLOOKUP(routes[[#This Row],[zone]],Hoja2!A$1:B$20,2,FALSE)</f>
        <v>zona_nord</v>
      </c>
      <c r="D100" t="s">
        <v>204</v>
      </c>
      <c r="E100" t="s">
        <v>25</v>
      </c>
      <c r="F100" t="str">
        <f>VLOOKUP(routes[[#This Row],[difficulty]],Hoja2!C$1:D$3,2,FALSE)</f>
        <v>COMPLEX</v>
      </c>
      <c r="G100" t="s">
        <v>419</v>
      </c>
      <c r="H100" t="s">
        <v>416</v>
      </c>
      <c r="I100" t="s">
        <v>152</v>
      </c>
      <c r="J100" t="s">
        <v>82</v>
      </c>
      <c r="K100" t="s">
        <v>420</v>
      </c>
      <c r="L100">
        <v>1780</v>
      </c>
      <c r="M100">
        <v>2395</v>
      </c>
    </row>
    <row r="101" spans="1:13" x14ac:dyDescent="0.2">
      <c r="A101">
        <v>99</v>
      </c>
      <c r="B101" t="s">
        <v>421</v>
      </c>
      <c r="C101" t="str">
        <f>VLOOKUP(routes[[#This Row],[zone]],Hoja2!A$1:B$20,2,FALSE)</f>
        <v>zona_nord</v>
      </c>
      <c r="D101" t="s">
        <v>12</v>
      </c>
      <c r="E101" t="s">
        <v>25</v>
      </c>
      <c r="F101" t="str">
        <f>VLOOKUP(routes[[#This Row],[difficulty]],Hoja2!C$1:D$3,2,FALSE)</f>
        <v>COMPLEX</v>
      </c>
      <c r="G101" t="s">
        <v>68</v>
      </c>
      <c r="H101" t="s">
        <v>494</v>
      </c>
      <c r="I101" t="s">
        <v>422</v>
      </c>
      <c r="J101" t="s">
        <v>423</v>
      </c>
      <c r="K101" t="s">
        <v>424</v>
      </c>
      <c r="L101">
        <v>1550</v>
      </c>
      <c r="M101">
        <v>2454</v>
      </c>
    </row>
    <row r="102" spans="1:13" x14ac:dyDescent="0.2">
      <c r="A102">
        <v>100</v>
      </c>
      <c r="B102" t="s">
        <v>425</v>
      </c>
      <c r="C102" t="str">
        <f>VLOOKUP(routes[[#This Row],[zone]],Hoja2!A$1:B$20,2,FALSE)</f>
        <v>zona_nord</v>
      </c>
      <c r="D102" t="s">
        <v>52</v>
      </c>
      <c r="E102" t="s">
        <v>13</v>
      </c>
      <c r="F102" t="str">
        <f>VLOOKUP(routes[[#This Row],[difficulty]],Hoja2!C$1:D$3,2,FALSE)</f>
        <v>EXIGENT</v>
      </c>
      <c r="G102" t="s">
        <v>131</v>
      </c>
      <c r="H102" t="s">
        <v>426</v>
      </c>
      <c r="I102" t="s">
        <v>518</v>
      </c>
      <c r="J102" t="s">
        <v>55</v>
      </c>
      <c r="K102" t="s">
        <v>427</v>
      </c>
      <c r="L102">
        <v>1953</v>
      </c>
      <c r="M102">
        <v>2565</v>
      </c>
    </row>
    <row r="103" spans="1:13" x14ac:dyDescent="0.2">
      <c r="A103">
        <v>101</v>
      </c>
      <c r="B103" t="s">
        <v>428</v>
      </c>
      <c r="C103" t="str">
        <f>VLOOKUP(routes[[#This Row],[zone]],Hoja2!A$1:B$20,2,FALSE)</f>
        <v>zona_nord</v>
      </c>
      <c r="D103" t="s">
        <v>12</v>
      </c>
      <c r="E103" t="s">
        <v>13</v>
      </c>
      <c r="F103" t="str">
        <f>VLOOKUP(routes[[#This Row],[difficulty]],Hoja2!C$1:D$3,2,FALSE)</f>
        <v>EXIGENT</v>
      </c>
      <c r="G103" t="s">
        <v>260</v>
      </c>
      <c r="H103" t="s">
        <v>429</v>
      </c>
      <c r="I103" t="s">
        <v>430</v>
      </c>
      <c r="J103" t="s">
        <v>17</v>
      </c>
      <c r="K103" t="s">
        <v>431</v>
      </c>
      <c r="L103">
        <v>1560</v>
      </c>
      <c r="M103">
        <v>2578</v>
      </c>
    </row>
    <row r="104" spans="1:13" x14ac:dyDescent="0.2">
      <c r="A104">
        <v>102</v>
      </c>
      <c r="B104" t="s">
        <v>432</v>
      </c>
      <c r="C104" t="str">
        <f>VLOOKUP(routes[[#This Row],[zone]],Hoja2!A$1:B$20,2,FALSE)</f>
        <v>zona_nord</v>
      </c>
      <c r="D104" t="s">
        <v>12</v>
      </c>
      <c r="E104" t="s">
        <v>13</v>
      </c>
      <c r="F104" t="str">
        <f>VLOOKUP(routes[[#This Row],[difficulty]],Hoja2!C$1:D$3,2,FALSE)</f>
        <v>EXIGENT</v>
      </c>
      <c r="G104" t="s">
        <v>409</v>
      </c>
      <c r="H104" t="s">
        <v>433</v>
      </c>
      <c r="I104" t="s">
        <v>533</v>
      </c>
      <c r="J104" t="s">
        <v>17</v>
      </c>
      <c r="K104" t="s">
        <v>434</v>
      </c>
      <c r="L104">
        <v>1560</v>
      </c>
      <c r="M104">
        <v>2630</v>
      </c>
    </row>
    <row r="105" spans="1:13" x14ac:dyDescent="0.2">
      <c r="A105">
        <v>103</v>
      </c>
      <c r="B105" t="s">
        <v>435</v>
      </c>
      <c r="C105" t="str">
        <f>VLOOKUP(routes[[#This Row],[zone]],Hoja2!A$1:B$20,2,FALSE)</f>
        <v>zona_centre</v>
      </c>
      <c r="D105" t="s">
        <v>19</v>
      </c>
      <c r="E105" t="s">
        <v>39</v>
      </c>
      <c r="F105" t="str">
        <f>VLOOKUP(routes[[#This Row],[difficulty]],Hoja2!C$1:D$3,2,FALSE)</f>
        <v>SIMPLE</v>
      </c>
      <c r="G105" t="s">
        <v>240</v>
      </c>
      <c r="H105" t="s">
        <v>436</v>
      </c>
      <c r="I105" t="s">
        <v>510</v>
      </c>
      <c r="J105" t="s">
        <v>28</v>
      </c>
      <c r="K105" t="s">
        <v>437</v>
      </c>
      <c r="L105">
        <v>1887</v>
      </c>
      <c r="M105">
        <v>2425</v>
      </c>
    </row>
    <row r="106" spans="1:13" x14ac:dyDescent="0.2">
      <c r="A106">
        <v>104</v>
      </c>
      <c r="B106" t="s">
        <v>438</v>
      </c>
      <c r="C106" t="str">
        <f>VLOOKUP(routes[[#This Row],[zone]],Hoja2!A$1:B$20,2,FALSE)</f>
        <v>zona_nord</v>
      </c>
      <c r="D106" t="s">
        <v>67</v>
      </c>
      <c r="E106" t="s">
        <v>25</v>
      </c>
      <c r="F106" t="str">
        <f>VLOOKUP(routes[[#This Row],[difficulty]],Hoja2!C$1:D$3,2,FALSE)</f>
        <v>COMPLEX</v>
      </c>
      <c r="G106" t="s">
        <v>32</v>
      </c>
      <c r="H106" t="s">
        <v>439</v>
      </c>
      <c r="I106" t="s">
        <v>85</v>
      </c>
      <c r="J106" t="s">
        <v>71</v>
      </c>
      <c r="K106" t="s">
        <v>440</v>
      </c>
      <c r="L106">
        <v>1750</v>
      </c>
      <c r="M106">
        <v>2293</v>
      </c>
    </row>
    <row r="107" spans="1:13" x14ac:dyDescent="0.2">
      <c r="A107">
        <v>105</v>
      </c>
      <c r="B107" t="s">
        <v>438</v>
      </c>
      <c r="C107" t="str">
        <f>VLOOKUP(routes[[#This Row],[zone]],Hoja2!A$1:B$20,2,FALSE)</f>
        <v>zona_nord</v>
      </c>
      <c r="D107" t="s">
        <v>38</v>
      </c>
      <c r="E107" t="s">
        <v>39</v>
      </c>
      <c r="F107" t="str">
        <f>VLOOKUP(routes[[#This Row],[difficulty]],Hoja2!C$1:D$3,2,FALSE)</f>
        <v>SIMPLE</v>
      </c>
      <c r="G107" t="s">
        <v>68</v>
      </c>
      <c r="H107" t="s">
        <v>441</v>
      </c>
      <c r="I107" t="s">
        <v>42</v>
      </c>
      <c r="J107" t="s">
        <v>43</v>
      </c>
      <c r="K107" t="s">
        <v>440</v>
      </c>
      <c r="L107">
        <v>1940</v>
      </c>
      <c r="M107">
        <v>2293</v>
      </c>
    </row>
    <row r="108" spans="1:13" x14ac:dyDescent="0.2">
      <c r="A108">
        <v>106</v>
      </c>
      <c r="B108" t="s">
        <v>442</v>
      </c>
      <c r="C108" t="str">
        <f>VLOOKUP(routes[[#This Row],[zone]],Hoja2!A$1:B$20,2,FALSE)</f>
        <v>zona_nord</v>
      </c>
      <c r="D108" t="s">
        <v>52</v>
      </c>
      <c r="E108" t="s">
        <v>25</v>
      </c>
      <c r="F108" t="str">
        <f>VLOOKUP(routes[[#This Row],[difficulty]],Hoja2!C$1:D$3,2,FALSE)</f>
        <v>COMPLEX</v>
      </c>
      <c r="G108" t="s">
        <v>443</v>
      </c>
      <c r="H108" t="s">
        <v>444</v>
      </c>
      <c r="I108" t="s">
        <v>517</v>
      </c>
      <c r="J108" t="s">
        <v>55</v>
      </c>
      <c r="K108" t="s">
        <v>445</v>
      </c>
      <c r="L108">
        <v>1953</v>
      </c>
      <c r="M108">
        <v>2116</v>
      </c>
    </row>
    <row r="109" spans="1:13" x14ac:dyDescent="0.2">
      <c r="A109">
        <v>107</v>
      </c>
      <c r="B109" t="s">
        <v>446</v>
      </c>
      <c r="C109" t="str">
        <f>VLOOKUP(routes[[#This Row],[zone]],Hoja2!A$1:B$20,2,FALSE)</f>
        <v>zona_centre</v>
      </c>
      <c r="D109" t="s">
        <v>125</v>
      </c>
      <c r="E109" t="s">
        <v>25</v>
      </c>
      <c r="F109" t="str">
        <f>VLOOKUP(routes[[#This Row],[difficulty]],Hoja2!C$1:D$3,2,FALSE)</f>
        <v>COMPLEX</v>
      </c>
      <c r="G109" t="s">
        <v>447</v>
      </c>
      <c r="H109" t="s">
        <v>448</v>
      </c>
      <c r="I109" t="s">
        <v>519</v>
      </c>
      <c r="J109" t="s">
        <v>128</v>
      </c>
      <c r="K109" t="s">
        <v>449</v>
      </c>
      <c r="L109">
        <v>1232</v>
      </c>
      <c r="M109">
        <v>1871</v>
      </c>
    </row>
    <row r="110" spans="1:13" x14ac:dyDescent="0.2">
      <c r="A110">
        <v>108</v>
      </c>
      <c r="B110" t="s">
        <v>450</v>
      </c>
      <c r="C110" t="str">
        <f>VLOOKUP(routes[[#This Row],[zone]],Hoja2!A$1:B$20,2,FALSE)</f>
        <v>zona_nord</v>
      </c>
      <c r="D110" t="s">
        <v>67</v>
      </c>
      <c r="E110" t="s">
        <v>25</v>
      </c>
      <c r="F110" t="str">
        <f>VLOOKUP(routes[[#This Row],[difficulty]],Hoja2!C$1:D$3,2,FALSE)</f>
        <v>COMPLEX</v>
      </c>
      <c r="G110" t="s">
        <v>199</v>
      </c>
      <c r="H110" t="s">
        <v>451</v>
      </c>
      <c r="I110" t="s">
        <v>333</v>
      </c>
      <c r="J110" t="s">
        <v>71</v>
      </c>
      <c r="K110" t="s">
        <v>452</v>
      </c>
      <c r="L110">
        <v>1750</v>
      </c>
      <c r="M110">
        <v>2310</v>
      </c>
    </row>
    <row r="111" spans="1:13" x14ac:dyDescent="0.2">
      <c r="A111">
        <v>109</v>
      </c>
      <c r="B111" t="s">
        <v>453</v>
      </c>
      <c r="C111" t="str">
        <f>VLOOKUP(routes[[#This Row],[zone]],Hoja2!A$1:B$20,2,FALSE)</f>
        <v>zona_nord</v>
      </c>
      <c r="D111" t="s">
        <v>46</v>
      </c>
      <c r="E111" t="s">
        <v>13</v>
      </c>
      <c r="F111" t="str">
        <f>VLOOKUP(routes[[#This Row],[difficulty]],Hoja2!C$1:D$3,2,FALSE)</f>
        <v>EXIGENT</v>
      </c>
      <c r="G111" t="s">
        <v>454</v>
      </c>
      <c r="H111" t="s">
        <v>455</v>
      </c>
      <c r="I111" t="s">
        <v>534</v>
      </c>
      <c r="J111" t="s">
        <v>49</v>
      </c>
      <c r="K111" t="s">
        <v>456</v>
      </c>
      <c r="L111">
        <v>2100</v>
      </c>
      <c r="M111">
        <v>2677</v>
      </c>
    </row>
    <row r="112" spans="1:13" x14ac:dyDescent="0.2">
      <c r="A112">
        <v>110</v>
      </c>
      <c r="B112" t="s">
        <v>457</v>
      </c>
      <c r="C112" t="str">
        <f>VLOOKUP(routes[[#This Row],[zone]],Hoja2!A$1:B$20,2,FALSE)</f>
        <v>zona_nord</v>
      </c>
      <c r="D112" t="s">
        <v>130</v>
      </c>
      <c r="E112" t="s">
        <v>13</v>
      </c>
      <c r="F112" t="str">
        <f>VLOOKUP(routes[[#This Row],[difficulty]],Hoja2!C$1:D$3,2,FALSE)</f>
        <v>EXIGENT</v>
      </c>
      <c r="G112" t="s">
        <v>58</v>
      </c>
      <c r="H112" t="s">
        <v>458</v>
      </c>
      <c r="I112" t="s">
        <v>517</v>
      </c>
      <c r="J112" t="s">
        <v>146</v>
      </c>
      <c r="K112" t="s">
        <v>459</v>
      </c>
      <c r="L112">
        <v>1825</v>
      </c>
      <c r="M112">
        <v>2160</v>
      </c>
    </row>
    <row r="113" spans="1:13" x14ac:dyDescent="0.2">
      <c r="A113">
        <v>111</v>
      </c>
      <c r="B113" t="s">
        <v>460</v>
      </c>
      <c r="C113" t="str">
        <f>VLOOKUP(routes[[#This Row],[zone]],Hoja2!A$1:B$20,2,FALSE)</f>
        <v>zona_nord</v>
      </c>
      <c r="D113" t="s">
        <v>46</v>
      </c>
      <c r="E113" t="s">
        <v>25</v>
      </c>
      <c r="F113" t="str">
        <f>VLOOKUP(routes[[#This Row],[difficulty]],Hoja2!C$1:D$3,2,FALSE)</f>
        <v>COMPLEX</v>
      </c>
      <c r="G113" t="s">
        <v>461</v>
      </c>
      <c r="H113" t="s">
        <v>462</v>
      </c>
      <c r="I113" t="s">
        <v>333</v>
      </c>
      <c r="J113" t="s">
        <v>49</v>
      </c>
      <c r="K113" t="s">
        <v>463</v>
      </c>
      <c r="L113">
        <v>2100</v>
      </c>
      <c r="M113">
        <v>2677</v>
      </c>
    </row>
    <row r="114" spans="1:13" x14ac:dyDescent="0.2">
      <c r="A114">
        <v>112</v>
      </c>
      <c r="B114" t="s">
        <v>464</v>
      </c>
      <c r="C114" t="str">
        <f>VLOOKUP(routes[[#This Row],[zone]],Hoja2!A$1:B$20,2,FALSE)</f>
        <v>zona_nord</v>
      </c>
      <c r="D114" t="s">
        <v>12</v>
      </c>
      <c r="E114" t="s">
        <v>13</v>
      </c>
      <c r="F114" t="str">
        <f>VLOOKUP(routes[[#This Row],[difficulty]],Hoja2!C$1:D$3,2,FALSE)</f>
        <v>EXIGENT</v>
      </c>
      <c r="G114" t="s">
        <v>47</v>
      </c>
      <c r="H114" t="s">
        <v>465</v>
      </c>
      <c r="I114" t="s">
        <v>430</v>
      </c>
      <c r="J114" t="s">
        <v>17</v>
      </c>
      <c r="K114" t="s">
        <v>466</v>
      </c>
      <c r="L114">
        <v>1560</v>
      </c>
      <c r="M114">
        <v>2265</v>
      </c>
    </row>
    <row r="115" spans="1:13" x14ac:dyDescent="0.2">
      <c r="A115">
        <v>113</v>
      </c>
      <c r="B115" t="s">
        <v>467</v>
      </c>
      <c r="C115" t="str">
        <f>VLOOKUP(routes[[#This Row],[zone]],Hoja2!A$1:B$20,2,FALSE)</f>
        <v>zona_nord</v>
      </c>
      <c r="D115" t="s">
        <v>12</v>
      </c>
      <c r="E115" t="s">
        <v>25</v>
      </c>
      <c r="F115" t="str">
        <f>VLOOKUP(routes[[#This Row],[difficulty]],Hoja2!C$1:D$3,2,FALSE)</f>
        <v>COMPLEX</v>
      </c>
      <c r="G115" t="s">
        <v>194</v>
      </c>
      <c r="H115" t="s">
        <v>468</v>
      </c>
      <c r="I115" t="s">
        <v>535</v>
      </c>
      <c r="J115" t="s">
        <v>17</v>
      </c>
      <c r="K115" t="s">
        <v>469</v>
      </c>
      <c r="L115">
        <v>1560</v>
      </c>
      <c r="M115">
        <v>2049</v>
      </c>
    </row>
    <row r="116" spans="1:13" x14ac:dyDescent="0.2">
      <c r="A116">
        <v>114</v>
      </c>
      <c r="B116" t="s">
        <v>470</v>
      </c>
      <c r="C116" t="str">
        <f>VLOOKUP(routes[[#This Row],[zone]],Hoja2!A$1:B$20,2,FALSE)</f>
        <v>zona_centre</v>
      </c>
      <c r="D116" t="s">
        <v>19</v>
      </c>
      <c r="E116" t="s">
        <v>39</v>
      </c>
      <c r="F116" t="str">
        <f>VLOOKUP(routes[[#This Row],[difficulty]],Hoja2!C$1:D$3,2,FALSE)</f>
        <v>SIMPLE</v>
      </c>
      <c r="G116" t="s">
        <v>180</v>
      </c>
      <c r="H116" t="s">
        <v>230</v>
      </c>
      <c r="I116" t="s">
        <v>34</v>
      </c>
      <c r="J116" t="s">
        <v>90</v>
      </c>
      <c r="K116" t="s">
        <v>471</v>
      </c>
      <c r="L116">
        <v>1618</v>
      </c>
      <c r="M116">
        <v>2231</v>
      </c>
    </row>
    <row r="117" spans="1:13" x14ac:dyDescent="0.2">
      <c r="A117">
        <v>115</v>
      </c>
      <c r="B117" t="s">
        <v>472</v>
      </c>
      <c r="C117" t="str">
        <f>VLOOKUP(routes[[#This Row],[zone]],Hoja2!A$1:B$20,2,FALSE)</f>
        <v>zona_nord</v>
      </c>
      <c r="D117" t="s">
        <v>12</v>
      </c>
      <c r="E117" t="s">
        <v>13</v>
      </c>
      <c r="F117" t="str">
        <f>VLOOKUP(routes[[#This Row],[difficulty]],Hoja2!C$1:D$3,2,FALSE)</f>
        <v>EXIGENT</v>
      </c>
      <c r="G117" t="s">
        <v>314</v>
      </c>
      <c r="H117" t="s">
        <v>473</v>
      </c>
      <c r="I117" t="s">
        <v>474</v>
      </c>
      <c r="J117" t="s">
        <v>17</v>
      </c>
      <c r="K117" t="s">
        <v>475</v>
      </c>
      <c r="L117">
        <v>1560</v>
      </c>
      <c r="M117">
        <v>2928</v>
      </c>
    </row>
    <row r="118" spans="1:13" x14ac:dyDescent="0.2">
      <c r="A118">
        <v>116</v>
      </c>
      <c r="B118" t="s">
        <v>476</v>
      </c>
      <c r="C118" t="str">
        <f>VLOOKUP(routes[[#This Row],[zone]],Hoja2!A$1:B$20,2,FALSE)</f>
        <v>zona_centre</v>
      </c>
      <c r="D118" t="s">
        <v>179</v>
      </c>
      <c r="E118" t="s">
        <v>39</v>
      </c>
      <c r="F118" t="str">
        <f>VLOOKUP(routes[[#This Row],[difficulty]],Hoja2!C$1:D$3,2,FALSE)</f>
        <v>SIMPLE</v>
      </c>
      <c r="G118" t="s">
        <v>40</v>
      </c>
      <c r="H118" t="s">
        <v>477</v>
      </c>
      <c r="I118" t="s">
        <v>34</v>
      </c>
      <c r="J118" t="s">
        <v>478</v>
      </c>
      <c r="K118" t="s">
        <v>154</v>
      </c>
      <c r="L118">
        <v>1900</v>
      </c>
      <c r="M118">
        <v>2358</v>
      </c>
    </row>
    <row r="119" spans="1:13" x14ac:dyDescent="0.2">
      <c r="A119">
        <v>117</v>
      </c>
      <c r="B119" t="s">
        <v>479</v>
      </c>
      <c r="C119" t="str">
        <f>VLOOKUP(routes[[#This Row],[zone]],Hoja2!A$1:B$20,2,FALSE)</f>
        <v>zona_sud</v>
      </c>
      <c r="D119" t="s">
        <v>394</v>
      </c>
      <c r="E119" t="s">
        <v>13</v>
      </c>
      <c r="F119" t="str">
        <f>VLOOKUP(routes[[#This Row],[difficulty]],Hoja2!C$1:D$3,2,FALSE)</f>
        <v>EXIGENT</v>
      </c>
      <c r="G119" t="s">
        <v>480</v>
      </c>
      <c r="H119" t="s">
        <v>481</v>
      </c>
      <c r="I119" t="s">
        <v>536</v>
      </c>
      <c r="J119" t="s">
        <v>397</v>
      </c>
      <c r="K119" t="s">
        <v>482</v>
      </c>
      <c r="L119">
        <v>2040</v>
      </c>
      <c r="M119">
        <v>2677</v>
      </c>
    </row>
    <row r="120" spans="1:13" x14ac:dyDescent="0.2">
      <c r="A120">
        <v>118</v>
      </c>
      <c r="B120" t="s">
        <v>483</v>
      </c>
      <c r="C120" t="str">
        <f>VLOOKUP(routes[[#This Row],[zone]],Hoja2!A$1:B$20,2,FALSE)</f>
        <v>zona_nord</v>
      </c>
      <c r="D120" t="s">
        <v>204</v>
      </c>
      <c r="E120" t="s">
        <v>25</v>
      </c>
      <c r="F120" t="str">
        <f>VLOOKUP(routes[[#This Row],[difficulty]],Hoja2!C$1:D$3,2,FALSE)</f>
        <v>COMPLEX</v>
      </c>
      <c r="G120" t="s">
        <v>484</v>
      </c>
      <c r="H120" t="s">
        <v>485</v>
      </c>
      <c r="I120" t="s">
        <v>537</v>
      </c>
      <c r="J120" t="s">
        <v>82</v>
      </c>
      <c r="K120" t="s">
        <v>216</v>
      </c>
      <c r="L120">
        <v>1780</v>
      </c>
      <c r="M120">
        <v>2600</v>
      </c>
    </row>
    <row r="121" spans="1:13" x14ac:dyDescent="0.2">
      <c r="A121">
        <v>119</v>
      </c>
      <c r="B121" t="s">
        <v>486</v>
      </c>
      <c r="C121" t="str">
        <f>VLOOKUP(routes[[#This Row],[zone]],Hoja2!A$1:B$20,2,FALSE)</f>
        <v>zona_nord</v>
      </c>
      <c r="D121" t="s">
        <v>368</v>
      </c>
      <c r="E121" t="s">
        <v>25</v>
      </c>
      <c r="F121" t="str">
        <f>VLOOKUP(routes[[#This Row],[difficulty]],Hoja2!C$1:D$3,2,FALSE)</f>
        <v>COMPLEX</v>
      </c>
      <c r="G121" t="s">
        <v>487</v>
      </c>
      <c r="H121" t="s">
        <v>488</v>
      </c>
      <c r="I121" t="s">
        <v>333</v>
      </c>
      <c r="J121" t="s">
        <v>489</v>
      </c>
      <c r="K121" t="s">
        <v>71</v>
      </c>
      <c r="L121">
        <v>2408</v>
      </c>
      <c r="M121">
        <v>2700</v>
      </c>
    </row>
    <row r="122" spans="1:13" x14ac:dyDescent="0.2">
      <c r="A122">
        <v>120</v>
      </c>
      <c r="B122" t="s">
        <v>490</v>
      </c>
      <c r="C122" t="str">
        <f>VLOOKUP(routes[[#This Row],[zone]],Hoja2!A$1:B$20,2,FALSE)</f>
        <v>zona_nord</v>
      </c>
      <c r="D122" t="s">
        <v>368</v>
      </c>
      <c r="E122" t="s">
        <v>25</v>
      </c>
      <c r="F122" t="str">
        <f>VLOOKUP(routes[[#This Row],[difficulty]],Hoja2!C$1:D$3,2,FALSE)</f>
        <v>COMPLEX</v>
      </c>
      <c r="G122" t="s">
        <v>199</v>
      </c>
      <c r="H122" t="s">
        <v>491</v>
      </c>
      <c r="I122" t="s">
        <v>519</v>
      </c>
      <c r="J122" t="s">
        <v>492</v>
      </c>
      <c r="K122" t="s">
        <v>493</v>
      </c>
      <c r="L122">
        <v>1830</v>
      </c>
      <c r="M122">
        <v>2700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D9451-5032-9C47-A228-5F82319B3DA1}">
  <dimension ref="A1:D20"/>
  <sheetViews>
    <sheetView workbookViewId="0">
      <selection activeCell="D1" sqref="D1"/>
    </sheetView>
  </sheetViews>
  <sheetFormatPr baseColWidth="10" defaultRowHeight="16" x14ac:dyDescent="0.2"/>
  <cols>
    <col min="1" max="1" width="42" customWidth="1"/>
  </cols>
  <sheetData>
    <row r="1" spans="1:4" x14ac:dyDescent="0.2">
      <c r="A1" s="1" t="s">
        <v>12</v>
      </c>
      <c r="B1" t="s">
        <v>498</v>
      </c>
      <c r="C1" s="1" t="s">
        <v>39</v>
      </c>
      <c r="D1" s="1" t="s">
        <v>39</v>
      </c>
    </row>
    <row r="2" spans="1:4" x14ac:dyDescent="0.2">
      <c r="A2" s="2" t="s">
        <v>19</v>
      </c>
      <c r="B2" t="s">
        <v>499</v>
      </c>
      <c r="C2" s="2" t="s">
        <v>13</v>
      </c>
      <c r="D2" t="s">
        <v>495</v>
      </c>
    </row>
    <row r="3" spans="1:4" x14ac:dyDescent="0.2">
      <c r="A3" s="2" t="s">
        <v>31</v>
      </c>
      <c r="B3" t="s">
        <v>498</v>
      </c>
      <c r="C3" s="1" t="s">
        <v>25</v>
      </c>
      <c r="D3" s="2" t="s">
        <v>13</v>
      </c>
    </row>
    <row r="4" spans="1:4" x14ac:dyDescent="0.2">
      <c r="A4" s="1" t="s">
        <v>38</v>
      </c>
      <c r="B4" t="s">
        <v>498</v>
      </c>
    </row>
    <row r="5" spans="1:4" x14ac:dyDescent="0.2">
      <c r="A5" s="2" t="s">
        <v>46</v>
      </c>
      <c r="B5" t="s">
        <v>498</v>
      </c>
    </row>
    <row r="6" spans="1:4" x14ac:dyDescent="0.2">
      <c r="A6" s="1" t="s">
        <v>52</v>
      </c>
      <c r="B6" t="s">
        <v>498</v>
      </c>
    </row>
    <row r="7" spans="1:4" x14ac:dyDescent="0.2">
      <c r="A7" s="2" t="s">
        <v>57</v>
      </c>
      <c r="B7" t="s">
        <v>499</v>
      </c>
    </row>
    <row r="8" spans="1:4" x14ac:dyDescent="0.2">
      <c r="A8" s="2" t="s">
        <v>67</v>
      </c>
      <c r="B8" t="s">
        <v>498</v>
      </c>
    </row>
    <row r="9" spans="1:4" x14ac:dyDescent="0.2">
      <c r="A9" s="2" t="s">
        <v>79</v>
      </c>
      <c r="B9" t="s">
        <v>498</v>
      </c>
    </row>
    <row r="10" spans="1:4" x14ac:dyDescent="0.2">
      <c r="A10" s="1" t="s">
        <v>100</v>
      </c>
      <c r="B10" t="s">
        <v>498</v>
      </c>
    </row>
    <row r="11" spans="1:4" x14ac:dyDescent="0.2">
      <c r="A11" s="2" t="s">
        <v>125</v>
      </c>
      <c r="B11" t="s">
        <v>499</v>
      </c>
    </row>
    <row r="12" spans="1:4" x14ac:dyDescent="0.2">
      <c r="A12" s="1" t="s">
        <v>130</v>
      </c>
      <c r="B12" t="s">
        <v>498</v>
      </c>
    </row>
    <row r="13" spans="1:4" x14ac:dyDescent="0.2">
      <c r="A13" s="1" t="s">
        <v>149</v>
      </c>
      <c r="B13" t="s">
        <v>499</v>
      </c>
    </row>
    <row r="14" spans="1:4" x14ac:dyDescent="0.2">
      <c r="A14" s="1" t="s">
        <v>12</v>
      </c>
      <c r="B14" t="s">
        <v>498</v>
      </c>
    </row>
    <row r="15" spans="1:4" x14ac:dyDescent="0.2">
      <c r="A15" s="2" t="s">
        <v>179</v>
      </c>
      <c r="B15" t="s">
        <v>499</v>
      </c>
    </row>
    <row r="16" spans="1:4" x14ac:dyDescent="0.2">
      <c r="A16" s="2" t="s">
        <v>204</v>
      </c>
      <c r="B16" t="s">
        <v>498</v>
      </c>
    </row>
    <row r="17" spans="1:2" x14ac:dyDescent="0.2">
      <c r="A17" s="1" t="s">
        <v>214</v>
      </c>
      <c r="B17" t="s">
        <v>498</v>
      </c>
    </row>
    <row r="18" spans="1:2" x14ac:dyDescent="0.2">
      <c r="A18" s="2" t="s">
        <v>344</v>
      </c>
      <c r="B18" t="s">
        <v>500</v>
      </c>
    </row>
    <row r="19" spans="1:2" x14ac:dyDescent="0.2">
      <c r="A19" s="2" t="s">
        <v>368</v>
      </c>
      <c r="B19" t="s">
        <v>498</v>
      </c>
    </row>
    <row r="20" spans="1:2" x14ac:dyDescent="0.2">
      <c r="A20" s="1" t="s">
        <v>394</v>
      </c>
      <c r="B20" t="s">
        <v>500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DC48D7-2FC8-3C4E-AD47-052C1275CF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routes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ordonez</dc:creator>
  <cp:lastModifiedBy>jordi ordonez</cp:lastModifiedBy>
  <dcterms:created xsi:type="dcterms:W3CDTF">2025-12-18T21:46:52Z</dcterms:created>
  <dcterms:modified xsi:type="dcterms:W3CDTF">2025-12-21T21:22:09Z</dcterms:modified>
</cp:coreProperties>
</file>